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Persona Builder" sheetId="2" state="visible" r:id="rId4"/>
    <sheet name="Pain Point Scoring" sheetId="3" state="visible" r:id="rId5"/>
    <sheet name="ICP Scorecard" sheetId="4" state="visible" r:id="rId6"/>
    <sheet name="Interview Log" sheetId="5" state="visible" r:id="rId7"/>
    <sheet name="Lists" sheetId="6" state="visible" r:id="rId8"/>
  </sheets>
  <definedNames>
    <definedName function="false" hidden="true" localSheetId="4" name="_xlnm._FilterDatabase" vbProcedure="false">'Interview Log'!$A$4:$L$104</definedName>
    <definedName function="false" hidden="true" localSheetId="2" name="_xlnm._FilterDatabase" vbProcedure="false">'Pain Point Scoring'!$A$6:$L$36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Default weights: Frequency 20%, Intensity 30%, Willingness to pay 30%, Ability to solve 20% (Aqvani default). Change to suit your market; the score divides by the weight total.</t>
        </r>
      </text>
    </comment>
  </commentList>
</comments>
</file>

<file path=xl/sharedStrings.xml><?xml version="1.0" encoding="utf-8"?>
<sst xmlns="http://schemas.openxmlformats.org/spreadsheetml/2006/main" count="223" uniqueCount="195">
  <si>
    <t xml:space="preserve">CUSTOMER PERSONA BUILDER</t>
  </si>
  <si>
    <t xml:space="preserve">AI Business Operating System 2026 · System 01 — Business Strategy · AQVANI.SHOP</t>
  </si>
  <si>
    <t xml:space="preserve">What this workbook does</t>
  </si>
  <si>
    <t xml:space="preserve">Builds evidence-based customer personas, ranks customer pain points, scores prospects against your Ideal Customer Profile (ICP), and keeps a log of real customer conversations. It supports Workbook Tools 2.2–2.4 (worksheets W-STR-04, 05, 06).</t>
  </si>
  <si>
    <t xml:space="preserve">Step 1 — Interview Log</t>
  </si>
  <si>
    <t xml:space="preserve">Record each real customer conversation (use prompt P-STR-009 for questions). Use codes, not names or phone numbers.</t>
  </si>
  <si>
    <t xml:space="preserve">Step 2 — Persona Builder</t>
  </si>
  <si>
    <t xml:space="preserve">Fill up to three personas using evidence from the Interview Log, reviews and enquiries. Completion % updates automatically. Use prompt P-STR-008 to sharpen.</t>
  </si>
  <si>
    <t xml:space="preserve">Step 3 — Pain Point Scoring</t>
  </si>
  <si>
    <t xml:space="preserve">List pains in customer language and rate four factors 1–5. Score and rank calculate automatically. Use prompts P-STR-011 and P-STR-012.</t>
  </si>
  <si>
    <t xml:space="preserve">Step 4 — ICP Scorecard</t>
  </si>
  <si>
    <t xml:space="preserve">Enter 5–7 fit criteria and weights (must total 100%). Then score each new prospect 0–5 per criterion to get a Fit % and band. Use prompt P-STR-010.</t>
  </si>
  <si>
    <t xml:space="preserve">Step 5 — Carry forward</t>
  </si>
  <si>
    <t xml:space="preserve">Copy your top 3 pains, persona one-liner and ICP sentence into W-STR-22 (One-Page Strategy Summary).</t>
  </si>
  <si>
    <t xml:space="preserve">Colour legend</t>
  </si>
  <si>
    <t xml:space="preserve">CREAM cells = your input (type here) · GREEN-TINT cells = automatic formulas (do not type here) · DARK GREEN = headers.</t>
  </si>
  <si>
    <t xml:space="preserve">Example data</t>
  </si>
  <si>
    <t xml:space="preserve">Rows marked 'Example' use fictional businesses (BrightNest Cleaning Co. and Northbridge Ops Advisory). They show the expected format. Overwrite or delete them when you start.</t>
  </si>
  <si>
    <t xml:space="preserve">Formulas used</t>
  </si>
  <si>
    <t xml:space="preserve">Pain Score = SUMPRODUCT(ratings, weights) ÷ SUM(weights) × 20 (range 20–100). ICP Fit % = SUMPRODUCT(ratings, weights) ÷ 5. Completion % = COUNTA(answers) ÷ number of fields.</t>
  </si>
  <si>
    <t xml:space="preserve">Google Sheets</t>
  </si>
  <si>
    <t xml:space="preserve">Upload this file to Google Drive and open with Google Sheets. All formulas and dropdowns are compatible.</t>
  </si>
  <si>
    <t xml:space="preserve">Privacy</t>
  </si>
  <si>
    <t xml:space="preserve">Do not store customer phone numbers, addresses or ID details here. Use codes such as C-014.</t>
  </si>
  <si>
    <t xml:space="preserve">AI review rule</t>
  </si>
  <si>
    <t xml:space="preserve">AI can organise your evidence; it cannot replace it. Review every AI output before using it in marketing or sales.</t>
  </si>
  <si>
    <t xml:space="preserve">Fictional examples only. Not customer results. General guidance, not legal or financial advice.</t>
  </si>
  <si>
    <t xml:space="preserve">PERSONA BUILDER  ·  W-STR-04</t>
  </si>
  <si>
    <t xml:space="preserve">Up to three personas side by side. Cream = input. Base each answer on evidence; mark guesses as INFERRED.</t>
  </si>
  <si>
    <t xml:space="preserve">Section</t>
  </si>
  <si>
    <t xml:space="preserve">Guidance</t>
  </si>
  <si>
    <t xml:space="preserve">Persona 1 (Example — overwrite)</t>
  </si>
  <si>
    <t xml:space="preserve">Persona 2</t>
  </si>
  <si>
    <t xml:space="preserve">Persona 3</t>
  </si>
  <si>
    <t xml:space="preserve">Persona name &amp; one-line description</t>
  </si>
  <si>
    <t xml:space="preserve">A memorable name + who they are in one line</t>
  </si>
  <si>
    <t xml:space="preserve">Busy Apartment Couple — 'Priya &amp; Arjun': both work full-time and want a reliably clean home without supervising anyone</t>
  </si>
  <si>
    <t xml:space="preserve">Snapshot</t>
  </si>
  <si>
    <t xml:space="preserve">Age range, role, life/business stage, location</t>
  </si>
  <si>
    <t xml:space="preserve">30–42, salaried professionals, 2–3BHK apartment, Pune west, often with a young child</t>
  </si>
  <si>
    <t xml:space="preserve">Situation right now</t>
  </si>
  <si>
    <t xml:space="preserve">What is happening in their life or business</t>
  </si>
  <si>
    <t xml:space="preserve">Long workdays and commutes; part-time help is inconsistent; weekends spent on chores</t>
  </si>
  <si>
    <t xml:space="preserve">Top 3 goals</t>
  </si>
  <si>
    <t xml:space="preserve">What they are trying to achieve</t>
  </si>
  <si>
    <t xml:space="preserve">1. A consistently clean home  2. Weekends free  3. Help they can trust in the house</t>
  </si>
  <si>
    <t xml:space="preserve">Top 3 frustrations</t>
  </si>
  <si>
    <t xml:space="preserve">What gets in the way</t>
  </si>
  <si>
    <t xml:space="preserve">1. Corners, fans and grout always missed  2. No-shows  3. Chasing and re-explaining every time</t>
  </si>
  <si>
    <t xml:space="preserve">Trigger moments</t>
  </si>
  <si>
    <t xml:space="preserve">What makes them look for help now</t>
  </si>
  <si>
    <t xml:space="preserve">Guests or family visiting; festivals; a no-show on a busy week; moving in</t>
  </si>
  <si>
    <t xml:space="preserve">Current solution / alternative</t>
  </si>
  <si>
    <t xml:space="preserve">What they do today instead (incl. DIY / nothing)</t>
  </si>
  <si>
    <t xml:space="preserve">Part-time maid + occasional deep clean before festivals</t>
  </si>
  <si>
    <t xml:space="preserve">Top 3 objections</t>
  </si>
  <si>
    <t xml:space="preserve">Why they might hesitate to buy</t>
  </si>
  <si>
    <t xml:space="preserve">1. 'Will the same people come each time?'  2. 'Is it safe to leave them alone at home?'  3. 'Monthly plan sounds expensive'</t>
  </si>
  <si>
    <t xml:space="preserve">Decision process</t>
  </si>
  <si>
    <t xml:space="preserve">Who decides, how long, compared with what</t>
  </si>
  <si>
    <t xml:space="preserve">Joint decision; compare with maid cost and one-off deep clean; decide within a week of a trigger</t>
  </si>
  <si>
    <t xml:space="preserve">Channels</t>
  </si>
  <si>
    <t xml:space="preserve">Where they spend attention and ask for advice</t>
  </si>
  <si>
    <t xml:space="preserve">Apartment WhatsApp groups, Instagram, Google search, neighbours' recommendations</t>
  </si>
  <si>
    <t xml:space="preserve">Their exact words</t>
  </si>
  <si>
    <t xml:space="preserve">3–5 real quotes from conversations, reviews or chats</t>
  </si>
  <si>
    <t xml:space="preserve">'They clean what's visible and leave the rest.' · 'I just don't want to follow up every week.' · 'Same team would be great.'</t>
  </si>
  <si>
    <t xml:space="preserve">Evidence used</t>
  </si>
  <si>
    <t xml:space="preserve">Number and type of sources (e.g. 4 calls, 9 chats)</t>
  </si>
  <si>
    <t xml:space="preserve">4 customer calls, 9 enquiry chats, 6 competitor reviews (example)</t>
  </si>
  <si>
    <t xml:space="preserve">Persona status</t>
  </si>
  <si>
    <t xml:space="preserve">Draft → Evidence-based (5+ sources) → Validated (used in sales)</t>
  </si>
  <si>
    <t xml:space="preserve">Evidence-based</t>
  </si>
  <si>
    <t xml:space="preserve">Completion %</t>
  </si>
  <si>
    <t xml:space="preserve">Share of the 12 sections filled (automatic)</t>
  </si>
  <si>
    <t xml:space="preserve">PAIN POINT SCORING  ·  W-STR-06</t>
  </si>
  <si>
    <t xml:space="preserve">Rate each factor 1–5. Score = weighted average × 20 (range 20–100). 75+ High · 55–74 Medium · below 55 Low.</t>
  </si>
  <si>
    <t xml:space="preserve">Factor weights (edit if needed — should total 100%)</t>
  </si>
  <si>
    <t xml:space="preserve">Frequency</t>
  </si>
  <si>
    <t xml:space="preserve">Intensity</t>
  </si>
  <si>
    <t xml:space="preserve">Willingness to pay</t>
  </si>
  <si>
    <t xml:space="preserve">Ability to solve</t>
  </si>
  <si>
    <t xml:space="preserve">Total</t>
  </si>
  <si>
    <t xml:space="preserve">Check</t>
  </si>
  <si>
    <t xml:space="preserve">#</t>
  </si>
  <si>
    <t xml:space="preserve">Pain point (customer language)</t>
  </si>
  <si>
    <t xml:space="preserve">Persona</t>
  </si>
  <si>
    <t xml:space="preserve">Source / evidence</t>
  </si>
  <si>
    <t xml:space="preserve">Source type</t>
  </si>
  <si>
    <t xml:space="preserve">Frequency 1–5</t>
  </si>
  <si>
    <t xml:space="preserve">Intensity 1–5</t>
  </si>
  <si>
    <t xml:space="preserve">Willingness to pay 1–5</t>
  </si>
  <si>
    <t xml:space="preserve">Ability to solve 1–5</t>
  </si>
  <si>
    <t xml:space="preserve">Score</t>
  </si>
  <si>
    <t xml:space="preserve">Rank</t>
  </si>
  <si>
    <t xml:space="preserve">Priority</t>
  </si>
  <si>
    <t xml:space="preserve">Example — The maid cleans the visible areas but corners, fans and grout are always dirty</t>
  </si>
  <si>
    <t xml:space="preserve">Persona 1</t>
  </si>
  <si>
    <t xml:space="preserve">9 enquiry chats</t>
  </si>
  <si>
    <t xml:space="preserve">Enquiry / chat</t>
  </si>
  <si>
    <t xml:space="preserve">Example — They confirm and then simply don't turn up</t>
  </si>
  <si>
    <t xml:space="preserve">Competitor reviews</t>
  </si>
  <si>
    <t xml:space="preserve">Competitor review</t>
  </si>
  <si>
    <t xml:space="preserve">Example — I'm uncomfortable leaving strangers in my home when I'm at work</t>
  </si>
  <si>
    <t xml:space="preserve">Calls with 4 customers</t>
  </si>
  <si>
    <t xml:space="preserve">Interview</t>
  </si>
  <si>
    <t xml:space="preserve">Example — Nobody is available in the two weeks before Diwali</t>
  </si>
  <si>
    <t xml:space="preserve">Festive-season chats</t>
  </si>
  <si>
    <t xml:space="preserve">Example — Strong chemical smell — worried about kids and pets</t>
  </si>
  <si>
    <t xml:space="preserve">3 reviews</t>
  </si>
  <si>
    <t xml:space="preserve">Own review</t>
  </si>
  <si>
    <t xml:space="preserve">Example — It takes forever to get a reply and a price</t>
  </si>
  <si>
    <t xml:space="preserve">Own WhatsApp history</t>
  </si>
  <si>
    <t xml:space="preserve">Top 3 pains = rank 1–3. Copy them, in customer language, into W-STR-06 and W-STR-22.</t>
  </si>
  <si>
    <t xml:space="preserve">ICP SCORECARD  ·  W-STR-05</t>
  </si>
  <si>
    <t xml:space="preserve">Define 5–7 criteria with weights (total 100%). Score each prospect 0–5 per criterion. A red flag overrides the score.</t>
  </si>
  <si>
    <t xml:space="preserve">PART A — Define your Ideal Customer Profile</t>
  </si>
  <si>
    <t xml:space="preserve">Fit criterion</t>
  </si>
  <si>
    <t xml:space="preserve">Weight %</t>
  </si>
  <si>
    <t xml:space="preserve">What '5' looks like</t>
  </si>
  <si>
    <t xml:space="preserve">What '0' looks like</t>
  </si>
  <si>
    <t xml:space="preserve">Example — Business type &amp; size</t>
  </si>
  <si>
    <t xml:space="preserve">Manufacturer, 20–150 staff, own production floor</t>
  </si>
  <si>
    <t xml:space="preserve">Trader or under 10 staff</t>
  </si>
  <si>
    <t xml:space="preserve">Example — Pain urgency</t>
  </si>
  <si>
    <t xml:space="preserve">Delays/rework hurting customer relationships now</t>
  </si>
  <si>
    <t xml:space="preserve">'Just exploring'</t>
  </si>
  <si>
    <t xml:space="preserve">Example — Decision-maker access</t>
  </si>
  <si>
    <t xml:space="preserve">Owner/MD in the first meeting</t>
  </si>
  <si>
    <t xml:space="preserve">Only a junior contact</t>
  </si>
  <si>
    <t xml:space="preserve">Example — Budget readiness</t>
  </si>
  <si>
    <t xml:space="preserve">Has paid consultants/software before</t>
  </si>
  <si>
    <t xml:space="preserve">Expects free advice</t>
  </si>
  <si>
    <t xml:space="preserve">Example — Location</t>
  </si>
  <si>
    <t xml:space="preserve">Within 150 km for site visits</t>
  </si>
  <si>
    <t xml:space="preserve">Frequent long-distance travel needed</t>
  </si>
  <si>
    <t xml:space="preserve">Total weight (must be 100%)</t>
  </si>
  <si>
    <t xml:space="preserve">Red flags (override the score):</t>
  </si>
  <si>
    <t xml:space="preserve">Example — Wants guaranteed cost savings in writing</t>
  </si>
  <si>
    <t xml:space="preserve">Example — Will not share basic production data</t>
  </si>
  <si>
    <t xml:space="preserve">Example — Expects results without staff involvement</t>
  </si>
  <si>
    <t xml:space="preserve">PART B — Score prospects</t>
  </si>
  <si>
    <t xml:space="preserve">Fit % = SUMPRODUCT(ratings, weights) ÷ 5 · 80–100% Ideal · 60–79% Good · 40–59% Possible · below 40% Poor</t>
  </si>
  <si>
    <t xml:space="preserve">Weight →</t>
  </si>
  <si>
    <t xml:space="preserve">Prospect code</t>
  </si>
  <si>
    <t xml:space="preserve">Notes (business / situation)</t>
  </si>
  <si>
    <t xml:space="preserve">Date</t>
  </si>
  <si>
    <t xml:space="preserve">Red flag? (Yes/No)</t>
  </si>
  <si>
    <t xml:space="preserve">Fit %</t>
  </si>
  <si>
    <t xml:space="preserve">Band</t>
  </si>
  <si>
    <t xml:space="preserve">Recommended action</t>
  </si>
  <si>
    <t xml:space="preserve">Example P-001</t>
  </si>
  <si>
    <t xml:space="preserve">Auto-components unit, 60 staff; owner attended; delays hurting key account</t>
  </si>
  <si>
    <t xml:space="preserve">No</t>
  </si>
  <si>
    <t xml:space="preserve">Example P-002</t>
  </si>
  <si>
    <t xml:space="preserve">Garment unit, 25 staff; manager only; 'exploring options'</t>
  </si>
  <si>
    <t xml:space="preserve">Example P-003</t>
  </si>
  <si>
    <t xml:space="preserve">Fabrication unit, 80 staff; wants savings guaranteed in contract</t>
  </si>
  <si>
    <t xml:space="preserve">Yes</t>
  </si>
  <si>
    <t xml:space="preserve">INTERVIEW LOG</t>
  </si>
  <si>
    <t xml:space="preserve">One row per real customer conversation. Use codes, not names or phone numbers. Questions: prompt P-STR-009.</t>
  </si>
  <si>
    <t xml:space="preserve">Customer code</t>
  </si>
  <si>
    <t xml:space="preserve">Situation</t>
  </si>
  <si>
    <t xml:space="preserve">Trigger (why now?)</t>
  </si>
  <si>
    <t xml:space="preserve">Pain quotes (exact words)</t>
  </si>
  <si>
    <t xml:space="preserve">Current solution</t>
  </si>
  <si>
    <t xml:space="preserve">Budget signal</t>
  </si>
  <si>
    <t xml:space="preserve">Objections / doubts</t>
  </si>
  <si>
    <t xml:space="preserve">Next step</t>
  </si>
  <si>
    <t xml:space="preserve">Pain added to scoring?</t>
  </si>
  <si>
    <t xml:space="preserve">Notes</t>
  </si>
  <si>
    <t xml:space="preserve">Conversations logged</t>
  </si>
  <si>
    <t xml:space="preserve">Example C-014</t>
  </si>
  <si>
    <t xml:space="preserve">Couple, both working; 2BHK in Wakad; part-time maid for 2 years</t>
  </si>
  <si>
    <t xml:space="preserve">Guests arriving for a family function</t>
  </si>
  <si>
    <t xml:space="preserve">'She does the floor and dishes but the bathroom tiles are never really clean.' · 'I hate checking her work.'</t>
  </si>
  <si>
    <t xml:space="preserve">Part-time maid + deep clean before Diwali</t>
  </si>
  <si>
    <t xml:space="preserve">Pays for help already</t>
  </si>
  <si>
    <t xml:space="preserve">'Will it be the same team each time?'</t>
  </si>
  <si>
    <t xml:space="preserve">Send Care Plan one-pager</t>
  </si>
  <si>
    <t xml:space="preserve">Interested in weekday morning slot</t>
  </si>
  <si>
    <t xml:space="preserve">Pains added to scoring</t>
  </si>
  <si>
    <t xml:space="preserve">Yes / No</t>
  </si>
  <si>
    <t xml:space="preserve">Note</t>
  </si>
  <si>
    <t xml:space="preserve">Draft</t>
  </si>
  <si>
    <t xml:space="preserve">Persona dropdowns use 'Persona 1/2/3' so they stay stable when you rename personas. Persona names are set in the Persona Builder. You may add items to columns B and D; extend the dropdown ranges if you add more rows.</t>
  </si>
  <si>
    <t xml:space="preserve">Has budget, not spending</t>
  </si>
  <si>
    <t xml:space="preserve">Email</t>
  </si>
  <si>
    <t xml:space="preserve">Validated</t>
  </si>
  <si>
    <t xml:space="preserve">Price-sensitive</t>
  </si>
  <si>
    <t xml:space="preserve">Sales call</t>
  </si>
  <si>
    <t xml:space="preserve">No budget</t>
  </si>
  <si>
    <t xml:space="preserve">Unknown</t>
  </si>
  <si>
    <t xml:space="preserve">Online community</t>
  </si>
  <si>
    <t xml:space="preserve">Other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</si>
</sst>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"/>
    <numFmt numFmtId="167" formatCode="dd\-mmm\-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8F1E7"/>
      <name val="Arial"/>
      <family val="0"/>
      <charset val="1"/>
    </font>
    <font>
      <b val="true"/>
      <sz val="10"/>
      <color rgb="FF073B2A"/>
      <name val="Arial"/>
      <family val="0"/>
      <charset val="1"/>
    </font>
    <font>
      <sz val="10"/>
      <color rgb="FF17231E"/>
      <name val="Arial"/>
      <family val="0"/>
      <charset val="1"/>
    </font>
    <font>
      <i val="true"/>
      <sz val="9"/>
      <color rgb="FF17231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7231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2"/>
    </font>
    <font>
      <b val="true"/>
      <sz val="11"/>
      <color rgb="FF073B2A"/>
      <name val="Arial"/>
      <family val="0"/>
      <charset val="1"/>
    </font>
    <font>
      <b val="true"/>
      <sz val="9"/>
      <color rgb="FF073B2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73B2A"/>
        <bgColor rgb="FF0B4D35"/>
      </patternFill>
    </fill>
    <fill>
      <patternFill patternType="solid">
        <fgColor rgb="FF0B4D35"/>
        <bgColor rgb="FF073B2A"/>
      </patternFill>
    </fill>
    <fill>
      <patternFill patternType="solid">
        <fgColor rgb="FFF8F1E7"/>
        <bgColor rgb="FFE6EFEA"/>
      </patternFill>
    </fill>
    <fill>
      <patternFill patternType="solid">
        <fgColor rgb="FFE6EFEA"/>
        <bgColor rgb="FFF8F1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C2B6"/>
      </left>
      <right style="thin">
        <color rgb="FFC9C2B6"/>
      </right>
      <top style="thin">
        <color rgb="FFC9C2B6"/>
      </top>
      <bottom style="thin">
        <color rgb="FFC9C2B6"/>
      </bottom>
      <diagonal/>
    </border>
    <border diagonalUp="false" diagonalDown="false">
      <left style="thin">
        <color rgb="FFC9C2B6"/>
      </left>
      <right/>
      <top style="thin">
        <color rgb="FFC9C2B6"/>
      </top>
      <bottom style="thin">
        <color rgb="FFC9C2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0B4D3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7231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F1E7"/>
          <bgColor rgb="FF000000"/>
        </patternFill>
      </fill>
    </dxf>
    <dxf>
      <fill>
        <patternFill patternType="solid">
          <fgColor rgb="FFD3DEBA"/>
          <bgColor rgb="FF000000"/>
        </patternFill>
      </fill>
    </dxf>
    <dxf>
      <fill>
        <patternFill patternType="solid">
          <fgColor rgb="FFD6DFB9"/>
          <bgColor rgb="FF000000"/>
        </patternFill>
      </fill>
    </dxf>
    <dxf>
      <fill>
        <patternFill patternType="solid">
          <fgColor rgb="FFE0E1B7"/>
          <bgColor rgb="FF000000"/>
        </patternFill>
      </fill>
    </dxf>
    <dxf>
      <fill>
        <patternFill patternType="solid">
          <fgColor rgb="FFE6EFEA"/>
          <bgColor rgb="FF000000"/>
        </patternFill>
      </fill>
    </dxf>
    <dxf>
      <fill>
        <patternFill patternType="solid">
          <fgColor rgb="FFEEE4B3"/>
          <bgColor rgb="FF000000"/>
        </patternFill>
      </fill>
    </dxf>
    <dxf>
      <fill>
        <patternFill patternType="solid">
          <fgColor rgb="FFF5E6B1"/>
          <bgColor rgb="FF000000"/>
        </patternFill>
      </fill>
    </dxf>
    <dxf>
      <fill>
        <patternFill patternType="solid">
          <fgColor rgb="FFF8E7B0"/>
          <bgColor rgb="FF000000"/>
        </patternFill>
      </fill>
    </dxf>
    <dxf>
      <fill>
        <patternFill patternType="solid">
          <fgColor rgb="FF073B2A"/>
          <bgColor rgb="FF000000"/>
        </patternFill>
      </fill>
    </dxf>
    <dxf>
      <fill>
        <patternFill patternType="solid">
          <fgColor rgb="FFFBE7B0"/>
          <bgColor rgb="FF000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073B2A"/>
        </patternFill>
      </fill>
    </dxf>
    <dxf>
      <fill>
        <patternFill>
          <bgColor rgb="FFFBE7B0"/>
        </patternFill>
      </fill>
    </dxf>
    <dxf>
      <fill>
        <patternFill>
          <bgColor rgb="FFF4D6CC"/>
        </patternFill>
      </fill>
    </dxf>
    <dxf>
      <fill>
        <patternFill>
          <bgColor rgb="FFB7D7C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2B6"/>
      <rgbColor rgb="FF8A8A8A"/>
      <rgbColor rgb="FF9999FF"/>
      <rgbColor rgb="FF993366"/>
      <rgbColor rgb="FFF8F1E7"/>
      <rgbColor rgb="FFE6EFEA"/>
      <rgbColor rgb="FF660066"/>
      <rgbColor rgb="FFFF8080"/>
      <rgbColor rgb="FF0066CC"/>
      <rgbColor rgb="FFB7D7C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7B0"/>
      <rgbColor rgb="FF99CCFF"/>
      <rgbColor rgb="FFFF99CC"/>
      <rgbColor rgb="FFCC99FF"/>
      <rgbColor rgb="FFF4D6CC"/>
      <rgbColor rgb="FF3366FF"/>
      <rgbColor rgb="FF33CCCC"/>
      <rgbColor rgb="FF99CC00"/>
      <rgbColor rgb="FFFFCC00"/>
      <rgbColor rgb="FFD9A51A"/>
      <rgbColor rgb="FFFF6600"/>
      <rgbColor rgb="FF666699"/>
      <rgbColor rgb="FF969696"/>
      <rgbColor rgb="FF0B4D35"/>
      <rgbColor rgb="FF339966"/>
      <rgbColor rgb="FF073B2A"/>
      <rgbColor rgb="FF333300"/>
      <rgbColor rgb="FF993300"/>
      <rgbColor rgb="FF993366"/>
      <rgbColor rgb="FF333399"/>
      <rgbColor rgb="FF1723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51A"/>
    <pageSetUpPr fitToPage="true"/>
  </sheetPr>
  <dimension ref="A1:D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4"/>
  </cols>
  <sheetData>
    <row r="1" customFormat="false" ht="27.75" hidden="false" customHeight="true" outlineLevel="0" collapsed="false">
      <c r="A1" s="1" t="s">
        <v>0</v>
      </c>
      <c r="B1" s="2"/>
      <c r="C1" s="2"/>
      <c r="D1" s="2"/>
    </row>
    <row r="2" customFormat="false" ht="18" hidden="false" customHeight="true" outlineLevel="0" collapsed="false">
      <c r="A2" s="3" t="s">
        <v>1</v>
      </c>
      <c r="B2" s="2"/>
      <c r="C2" s="2"/>
      <c r="D2" s="2"/>
    </row>
    <row r="4" customFormat="false" ht="45.75" hidden="false" customHeight="true" outlineLevel="0" collapsed="false">
      <c r="B4" s="4" t="s">
        <v>2</v>
      </c>
      <c r="C4" s="5" t="s">
        <v>3</v>
      </c>
    </row>
    <row r="5" customFormat="false" ht="45.75" hidden="false" customHeight="true" outlineLevel="0" collapsed="false">
      <c r="B5" s="4" t="s">
        <v>4</v>
      </c>
      <c r="C5" s="5" t="s">
        <v>5</v>
      </c>
    </row>
    <row r="6" customFormat="false" ht="45.75" hidden="false" customHeight="true" outlineLevel="0" collapsed="false">
      <c r="B6" s="4" t="s">
        <v>6</v>
      </c>
      <c r="C6" s="5" t="s">
        <v>7</v>
      </c>
    </row>
    <row r="7" customFormat="false" ht="45.75" hidden="false" customHeight="true" outlineLevel="0" collapsed="false">
      <c r="B7" s="4" t="s">
        <v>8</v>
      </c>
      <c r="C7" s="5" t="s">
        <v>9</v>
      </c>
    </row>
    <row r="8" customFormat="false" ht="45.75" hidden="false" customHeight="true" outlineLevel="0" collapsed="false">
      <c r="B8" s="4" t="s">
        <v>10</v>
      </c>
      <c r="C8" s="5" t="s">
        <v>11</v>
      </c>
    </row>
    <row r="9" customFormat="false" ht="45.75" hidden="false" customHeight="true" outlineLevel="0" collapsed="false">
      <c r="B9" s="4" t="s">
        <v>12</v>
      </c>
      <c r="C9" s="5" t="s">
        <v>13</v>
      </c>
    </row>
    <row r="10" customFormat="false" ht="45.75" hidden="false" customHeight="true" outlineLevel="0" collapsed="false">
      <c r="B10" s="4" t="s">
        <v>14</v>
      </c>
      <c r="C10" s="5" t="s">
        <v>15</v>
      </c>
    </row>
    <row r="11" customFormat="false" ht="45.75" hidden="false" customHeight="true" outlineLevel="0" collapsed="false">
      <c r="B11" s="4" t="s">
        <v>16</v>
      </c>
      <c r="C11" s="5" t="s">
        <v>17</v>
      </c>
    </row>
    <row r="12" customFormat="false" ht="45.75" hidden="false" customHeight="true" outlineLevel="0" collapsed="false">
      <c r="B12" s="4" t="s">
        <v>18</v>
      </c>
      <c r="C12" s="5" t="s">
        <v>19</v>
      </c>
    </row>
    <row r="13" customFormat="false" ht="45.75" hidden="false" customHeight="true" outlineLevel="0" collapsed="false">
      <c r="B13" s="4" t="s">
        <v>20</v>
      </c>
      <c r="C13" s="5" t="s">
        <v>21</v>
      </c>
    </row>
    <row r="14" customFormat="false" ht="45.75" hidden="false" customHeight="true" outlineLevel="0" collapsed="false">
      <c r="B14" s="4" t="s">
        <v>22</v>
      </c>
      <c r="C14" s="5" t="s">
        <v>23</v>
      </c>
    </row>
    <row r="15" customFormat="false" ht="45.75" hidden="false" customHeight="true" outlineLevel="0" collapsed="false">
      <c r="B15" s="4" t="s">
        <v>24</v>
      </c>
      <c r="C15" s="5" t="s">
        <v>25</v>
      </c>
    </row>
    <row r="17" customFormat="false" ht="15" hidden="false" customHeight="false" outlineLevel="0" collapsed="false">
      <c r="B17" s="6" t="s">
        <v>26</v>
      </c>
    </row>
  </sheetData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&amp;CAQVANI.SHOP · AI Business Operating System 2026 · Customer Persona Builder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73B2A"/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5" min="3" style="0" width="40"/>
    <col collapsed="false" customWidth="true" hidden="false" outlineLevel="0" max="6" min="6" style="0" width="2"/>
  </cols>
  <sheetData>
    <row r="1" customFormat="false" ht="27.75" hidden="false" customHeight="true" outlineLevel="0" collapsed="false">
      <c r="A1" s="1" t="s">
        <v>27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28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7" t="s">
        <v>29</v>
      </c>
      <c r="B4" s="7" t="s">
        <v>30</v>
      </c>
      <c r="C4" s="7" t="s">
        <v>31</v>
      </c>
      <c r="D4" s="7" t="s">
        <v>32</v>
      </c>
      <c r="E4" s="7" t="s">
        <v>33</v>
      </c>
    </row>
    <row r="5" customFormat="false" ht="48" hidden="false" customHeight="true" outlineLevel="0" collapsed="false">
      <c r="A5" s="8" t="s">
        <v>34</v>
      </c>
      <c r="B5" s="9" t="s">
        <v>35</v>
      </c>
      <c r="C5" s="10" t="s">
        <v>36</v>
      </c>
      <c r="D5" s="10"/>
      <c r="E5" s="10"/>
    </row>
    <row r="6" customFormat="false" ht="48" hidden="false" customHeight="true" outlineLevel="0" collapsed="false">
      <c r="A6" s="8" t="s">
        <v>37</v>
      </c>
      <c r="B6" s="9" t="s">
        <v>38</v>
      </c>
      <c r="C6" s="10" t="s">
        <v>39</v>
      </c>
      <c r="D6" s="10"/>
      <c r="E6" s="10"/>
    </row>
    <row r="7" customFormat="false" ht="48" hidden="false" customHeight="true" outlineLevel="0" collapsed="false">
      <c r="A7" s="8" t="s">
        <v>40</v>
      </c>
      <c r="B7" s="9" t="s">
        <v>41</v>
      </c>
      <c r="C7" s="10" t="s">
        <v>42</v>
      </c>
      <c r="D7" s="10"/>
      <c r="E7" s="10"/>
    </row>
    <row r="8" customFormat="false" ht="48" hidden="false" customHeight="true" outlineLevel="0" collapsed="false">
      <c r="A8" s="8" t="s">
        <v>43</v>
      </c>
      <c r="B8" s="9" t="s">
        <v>44</v>
      </c>
      <c r="C8" s="10" t="s">
        <v>45</v>
      </c>
      <c r="D8" s="10"/>
      <c r="E8" s="10"/>
    </row>
    <row r="9" customFormat="false" ht="48" hidden="false" customHeight="true" outlineLevel="0" collapsed="false">
      <c r="A9" s="8" t="s">
        <v>46</v>
      </c>
      <c r="B9" s="9" t="s">
        <v>47</v>
      </c>
      <c r="C9" s="10" t="s">
        <v>48</v>
      </c>
      <c r="D9" s="10"/>
      <c r="E9" s="10"/>
    </row>
    <row r="10" customFormat="false" ht="48" hidden="false" customHeight="true" outlineLevel="0" collapsed="false">
      <c r="A10" s="8" t="s">
        <v>49</v>
      </c>
      <c r="B10" s="9" t="s">
        <v>50</v>
      </c>
      <c r="C10" s="10" t="s">
        <v>51</v>
      </c>
      <c r="D10" s="10"/>
      <c r="E10" s="10"/>
    </row>
    <row r="11" customFormat="false" ht="48" hidden="false" customHeight="true" outlineLevel="0" collapsed="false">
      <c r="A11" s="8" t="s">
        <v>52</v>
      </c>
      <c r="B11" s="9" t="s">
        <v>53</v>
      </c>
      <c r="C11" s="10" t="s">
        <v>54</v>
      </c>
      <c r="D11" s="10"/>
      <c r="E11" s="10"/>
    </row>
    <row r="12" customFormat="false" ht="48" hidden="false" customHeight="true" outlineLevel="0" collapsed="false">
      <c r="A12" s="8" t="s">
        <v>55</v>
      </c>
      <c r="B12" s="9" t="s">
        <v>56</v>
      </c>
      <c r="C12" s="10" t="s">
        <v>57</v>
      </c>
      <c r="D12" s="10"/>
      <c r="E12" s="10"/>
    </row>
    <row r="13" customFormat="false" ht="48" hidden="false" customHeight="true" outlineLevel="0" collapsed="false">
      <c r="A13" s="8" t="s">
        <v>58</v>
      </c>
      <c r="B13" s="9" t="s">
        <v>59</v>
      </c>
      <c r="C13" s="10" t="s">
        <v>60</v>
      </c>
      <c r="D13" s="10"/>
      <c r="E13" s="10"/>
    </row>
    <row r="14" customFormat="false" ht="48" hidden="false" customHeight="true" outlineLevel="0" collapsed="false">
      <c r="A14" s="8" t="s">
        <v>61</v>
      </c>
      <c r="B14" s="9" t="s">
        <v>62</v>
      </c>
      <c r="C14" s="10" t="s">
        <v>63</v>
      </c>
      <c r="D14" s="10"/>
      <c r="E14" s="10"/>
    </row>
    <row r="15" customFormat="false" ht="48" hidden="false" customHeight="true" outlineLevel="0" collapsed="false">
      <c r="A15" s="8" t="s">
        <v>64</v>
      </c>
      <c r="B15" s="9" t="s">
        <v>65</v>
      </c>
      <c r="C15" s="10" t="s">
        <v>66</v>
      </c>
      <c r="D15" s="10"/>
      <c r="E15" s="10"/>
    </row>
    <row r="16" customFormat="false" ht="48" hidden="false" customHeight="true" outlineLevel="0" collapsed="false">
      <c r="A16" s="8" t="s">
        <v>67</v>
      </c>
      <c r="B16" s="9" t="s">
        <v>68</v>
      </c>
      <c r="C16" s="10" t="s">
        <v>69</v>
      </c>
      <c r="D16" s="10"/>
      <c r="E16" s="10"/>
    </row>
    <row r="17" customFormat="false" ht="15" hidden="false" customHeight="false" outlineLevel="0" collapsed="false">
      <c r="A17" s="11" t="s">
        <v>70</v>
      </c>
      <c r="B17" s="12" t="s">
        <v>71</v>
      </c>
      <c r="C17" s="10" t="s">
        <v>72</v>
      </c>
      <c r="D17" s="10"/>
      <c r="E17" s="10"/>
    </row>
    <row r="18" customFormat="false" ht="15" hidden="false" customHeight="false" outlineLevel="0" collapsed="false">
      <c r="A18" s="11" t="s">
        <v>73</v>
      </c>
      <c r="B18" s="12" t="s">
        <v>74</v>
      </c>
      <c r="C18" s="13" t="n">
        <f aca="false">COUNTA(C5:C16)/ROWS(C5:C16)</f>
        <v>1</v>
      </c>
      <c r="D18" s="13" t="n">
        <f aca="false">COUNTA(D5:D16)/ROWS(D5:D16)</f>
        <v>0</v>
      </c>
      <c r="E18" s="13" t="n">
        <f aca="false">COUNTA(E5:E16)/ROWS(E5:E16)</f>
        <v>0</v>
      </c>
    </row>
  </sheetData>
  <conditionalFormatting sqref="C18:E18">
    <cfRule type="colorScale" priority="2">
      <colorScale>
        <cfvo type="num" val="0"/>
        <cfvo type="num" val="1"/>
        <color rgb="FFF4D6CC"/>
        <color rgb="FFB7D7C2"/>
      </colorScale>
    </cfRule>
  </conditionalFormatting>
  <dataValidations count="1">
    <dataValidation allowBlank="true" errorStyle="stop" operator="between" showDropDown="false" showErrorMessage="false" showInputMessage="false" sqref="C17:E17" type="list">
      <formula1>Lists!$C$2:$C$4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&amp;CAQVANI.SHOP · AI Business Operating System 2026 · Customer Persona Builder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73B2A"/>
    <pageSetUpPr fitToPage="true"/>
  </sheetPr>
  <dimension ref="A1:L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2" min="12" style="0" width="12"/>
  </cols>
  <sheetData>
    <row r="1" customFormat="false" ht="27.75" hidden="false" customHeight="true" outlineLevel="0" collapsed="false">
      <c r="A1" s="1" t="s">
        <v>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8" hidden="false" customHeight="true" outlineLevel="0" collapsed="false">
      <c r="A2" s="3" t="s">
        <v>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0" hidden="false" customHeight="true" outlineLevel="0" collapsed="false">
      <c r="B3" s="14" t="s">
        <v>77</v>
      </c>
      <c r="C3" s="15" t="s">
        <v>78</v>
      </c>
      <c r="D3" s="15" t="s">
        <v>79</v>
      </c>
      <c r="E3" s="15" t="s">
        <v>80</v>
      </c>
      <c r="F3" s="15" t="s">
        <v>81</v>
      </c>
      <c r="G3" s="15" t="s">
        <v>82</v>
      </c>
      <c r="H3" s="15" t="s">
        <v>83</v>
      </c>
    </row>
    <row r="4" customFormat="false" ht="15" hidden="false" customHeight="false" outlineLevel="0" collapsed="false">
      <c r="C4" s="16" t="n">
        <v>0.2</v>
      </c>
      <c r="D4" s="16" t="n">
        <v>0.3</v>
      </c>
      <c r="E4" s="16" t="n">
        <v>0.3</v>
      </c>
      <c r="F4" s="16" t="n">
        <v>0.2</v>
      </c>
      <c r="G4" s="13" t="n">
        <f aca="false">SUM(C4:F4)</f>
        <v>1</v>
      </c>
      <c r="H4" s="17" t="str">
        <f aca="false">IF(ROUND(G4,4)=1,"OK","Weights must total 100%")</f>
        <v>OK</v>
      </c>
    </row>
    <row r="6" customFormat="false" ht="31.5" hidden="false" customHeight="true" outlineLevel="0" collapsed="false">
      <c r="A6" s="7" t="s">
        <v>84</v>
      </c>
      <c r="B6" s="7" t="s">
        <v>85</v>
      </c>
      <c r="C6" s="7" t="s">
        <v>86</v>
      </c>
      <c r="D6" s="7" t="s">
        <v>87</v>
      </c>
      <c r="E6" s="7" t="s">
        <v>88</v>
      </c>
      <c r="F6" s="7" t="s">
        <v>89</v>
      </c>
      <c r="G6" s="7" t="s">
        <v>90</v>
      </c>
      <c r="H6" s="7" t="s">
        <v>91</v>
      </c>
      <c r="I6" s="7" t="s">
        <v>92</v>
      </c>
      <c r="J6" s="7" t="s">
        <v>93</v>
      </c>
      <c r="K6" s="7" t="s">
        <v>94</v>
      </c>
      <c r="L6" s="7" t="s">
        <v>95</v>
      </c>
    </row>
    <row r="7" customFormat="false" ht="30" hidden="false" customHeight="true" outlineLevel="0" collapsed="false">
      <c r="A7" s="18" t="n">
        <v>1</v>
      </c>
      <c r="B7" s="10" t="s">
        <v>96</v>
      </c>
      <c r="C7" s="10" t="s">
        <v>97</v>
      </c>
      <c r="D7" s="10" t="s">
        <v>98</v>
      </c>
      <c r="E7" s="10" t="s">
        <v>99</v>
      </c>
      <c r="F7" s="19" t="n">
        <v>4</v>
      </c>
      <c r="G7" s="19" t="n">
        <v>4</v>
      </c>
      <c r="H7" s="19" t="n">
        <v>4</v>
      </c>
      <c r="I7" s="19" t="n">
        <v>5</v>
      </c>
      <c r="J7" s="20" t="n">
        <f aca="false">IF(COUNT(F7:I7)&lt;4,"",ROUND(SUMPRODUCT(F7:I7,$C$4:$F$4)/SUM($C$4:$F$4)*20,0))</f>
        <v>84</v>
      </c>
      <c r="K7" s="20" t="n">
        <f aca="false">IF(J7="","",RANK(J7,$J$7:$J$36))</f>
        <v>1</v>
      </c>
      <c r="L7" s="17" t="str">
        <f aca="false">IF(J7="","",IF(J7&gt;=75,"High",IF(J7&gt;=55,"Medium","Low")))</f>
        <v>High</v>
      </c>
    </row>
    <row r="8" customFormat="false" ht="30" hidden="false" customHeight="true" outlineLevel="0" collapsed="false">
      <c r="A8" s="18" t="n">
        <v>2</v>
      </c>
      <c r="B8" s="10" t="s">
        <v>100</v>
      </c>
      <c r="C8" s="10" t="s">
        <v>97</v>
      </c>
      <c r="D8" s="10" t="s">
        <v>101</v>
      </c>
      <c r="E8" s="10" t="s">
        <v>102</v>
      </c>
      <c r="F8" s="19" t="n">
        <v>3</v>
      </c>
      <c r="G8" s="19" t="n">
        <v>5</v>
      </c>
      <c r="H8" s="19" t="n">
        <v>4</v>
      </c>
      <c r="I8" s="19" t="n">
        <v>4</v>
      </c>
      <c r="J8" s="20" t="n">
        <f aca="false">IF(COUNT(F8:I8)&lt;4,"",ROUND(SUMPRODUCT(F8:I8,$C$4:$F$4)/SUM($C$4:$F$4)*20,0))</f>
        <v>82</v>
      </c>
      <c r="K8" s="20" t="n">
        <f aca="false">IF(J8="","",RANK(J8,$J$7:$J$36))</f>
        <v>2</v>
      </c>
      <c r="L8" s="17" t="str">
        <f aca="false">IF(J8="","",IF(J8&gt;=75,"High",IF(J8&gt;=55,"Medium","Low")))</f>
        <v>High</v>
      </c>
    </row>
    <row r="9" customFormat="false" ht="30" hidden="false" customHeight="true" outlineLevel="0" collapsed="false">
      <c r="A9" s="18" t="n">
        <v>3</v>
      </c>
      <c r="B9" s="10" t="s">
        <v>103</v>
      </c>
      <c r="C9" s="10" t="s">
        <v>97</v>
      </c>
      <c r="D9" s="10" t="s">
        <v>104</v>
      </c>
      <c r="E9" s="10" t="s">
        <v>105</v>
      </c>
      <c r="F9" s="19" t="n">
        <v>3</v>
      </c>
      <c r="G9" s="19" t="n">
        <v>5</v>
      </c>
      <c r="H9" s="19" t="n">
        <v>3</v>
      </c>
      <c r="I9" s="19" t="n">
        <v>4</v>
      </c>
      <c r="J9" s="20" t="n">
        <f aca="false">IF(COUNT(F9:I9)&lt;4,"",ROUND(SUMPRODUCT(F9:I9,$C$4:$F$4)/SUM($C$4:$F$4)*20,0))</f>
        <v>76</v>
      </c>
      <c r="K9" s="20" t="n">
        <f aca="false">IF(J9="","",RANK(J9,$J$7:$J$36))</f>
        <v>3</v>
      </c>
      <c r="L9" s="17" t="str">
        <f aca="false">IF(J9="","",IF(J9&gt;=75,"High",IF(J9&gt;=55,"Medium","Low")))</f>
        <v>High</v>
      </c>
    </row>
    <row r="10" customFormat="false" ht="30" hidden="false" customHeight="true" outlineLevel="0" collapsed="false">
      <c r="A10" s="18" t="n">
        <v>4</v>
      </c>
      <c r="B10" s="10" t="s">
        <v>106</v>
      </c>
      <c r="C10" s="10" t="s">
        <v>97</v>
      </c>
      <c r="D10" s="10" t="s">
        <v>107</v>
      </c>
      <c r="E10" s="10" t="s">
        <v>99</v>
      </c>
      <c r="F10" s="19" t="n">
        <v>2</v>
      </c>
      <c r="G10" s="19" t="n">
        <v>4</v>
      </c>
      <c r="H10" s="19" t="n">
        <v>4</v>
      </c>
      <c r="I10" s="19" t="n">
        <v>3</v>
      </c>
      <c r="J10" s="20" t="n">
        <f aca="false">IF(COUNT(F10:I10)&lt;4,"",ROUND(SUMPRODUCT(F10:I10,$C$4:$F$4)/SUM($C$4:$F$4)*20,0))</f>
        <v>68</v>
      </c>
      <c r="K10" s="20" t="n">
        <f aca="false">IF(J10="","",RANK(J10,$J$7:$J$36))</f>
        <v>4</v>
      </c>
      <c r="L10" s="17" t="str">
        <f aca="false">IF(J10="","",IF(J10&gt;=75,"High",IF(J10&gt;=55,"Medium","Low")))</f>
        <v>Medium</v>
      </c>
    </row>
    <row r="11" customFormat="false" ht="30" hidden="false" customHeight="true" outlineLevel="0" collapsed="false">
      <c r="A11" s="18" t="n">
        <v>5</v>
      </c>
      <c r="B11" s="10" t="s">
        <v>108</v>
      </c>
      <c r="C11" s="10" t="s">
        <v>97</v>
      </c>
      <c r="D11" s="10" t="s">
        <v>109</v>
      </c>
      <c r="E11" s="10" t="s">
        <v>110</v>
      </c>
      <c r="F11" s="19" t="n">
        <v>2</v>
      </c>
      <c r="G11" s="19" t="n">
        <v>3</v>
      </c>
      <c r="H11" s="19" t="n">
        <v>3</v>
      </c>
      <c r="I11" s="19" t="n">
        <v>5</v>
      </c>
      <c r="J11" s="20" t="n">
        <f aca="false">IF(COUNT(F11:I11)&lt;4,"",ROUND(SUMPRODUCT(F11:I11,$C$4:$F$4)/SUM($C$4:$F$4)*20,0))</f>
        <v>64</v>
      </c>
      <c r="K11" s="20" t="n">
        <f aca="false">IF(J11="","",RANK(J11,$J$7:$J$36))</f>
        <v>5</v>
      </c>
      <c r="L11" s="17" t="str">
        <f aca="false">IF(J11="","",IF(J11&gt;=75,"High",IF(J11&gt;=55,"Medium","Low")))</f>
        <v>Medium</v>
      </c>
    </row>
    <row r="12" customFormat="false" ht="30" hidden="false" customHeight="true" outlineLevel="0" collapsed="false">
      <c r="A12" s="18" t="n">
        <v>6</v>
      </c>
      <c r="B12" s="10" t="s">
        <v>111</v>
      </c>
      <c r="C12" s="10" t="s">
        <v>97</v>
      </c>
      <c r="D12" s="10" t="s">
        <v>112</v>
      </c>
      <c r="E12" s="10" t="s">
        <v>99</v>
      </c>
      <c r="F12" s="19" t="n">
        <v>3</v>
      </c>
      <c r="G12" s="19" t="n">
        <v>3</v>
      </c>
      <c r="H12" s="19" t="n">
        <v>2</v>
      </c>
      <c r="I12" s="19" t="n">
        <v>5</v>
      </c>
      <c r="J12" s="20" t="n">
        <f aca="false">IF(COUNT(F12:I12)&lt;4,"",ROUND(SUMPRODUCT(F12:I12,$C$4:$F$4)/SUM($C$4:$F$4)*20,0))</f>
        <v>62</v>
      </c>
      <c r="K12" s="20" t="n">
        <f aca="false">IF(J12="","",RANK(J12,$J$7:$J$36))</f>
        <v>6</v>
      </c>
      <c r="L12" s="17" t="str">
        <f aca="false">IF(J12="","",IF(J12&gt;=75,"High",IF(J12&gt;=55,"Medium","Low")))</f>
        <v>Medium</v>
      </c>
    </row>
    <row r="13" customFormat="false" ht="30" hidden="false" customHeight="true" outlineLevel="0" collapsed="false">
      <c r="A13" s="18" t="n">
        <v>7</v>
      </c>
      <c r="B13" s="10"/>
      <c r="C13" s="10"/>
      <c r="D13" s="10"/>
      <c r="E13" s="10"/>
      <c r="F13" s="19"/>
      <c r="G13" s="19"/>
      <c r="H13" s="19"/>
      <c r="I13" s="19"/>
      <c r="J13" s="20" t="str">
        <f aca="false">IF(COUNT(F13:I13)&lt;4,"",ROUND(SUMPRODUCT(F13:I13,$C$4:$F$4)/SUM($C$4:$F$4)*20,0))</f>
        <v/>
      </c>
      <c r="K13" s="20" t="str">
        <f aca="false">IF(J13="","",RANK(J13,$J$7:$J$36))</f>
        <v/>
      </c>
      <c r="L13" s="17" t="str">
        <f aca="false">IF(J13="","",IF(J13&gt;=75,"High",IF(J13&gt;=55,"Medium","Low")))</f>
        <v/>
      </c>
    </row>
    <row r="14" customFormat="false" ht="30" hidden="false" customHeight="true" outlineLevel="0" collapsed="false">
      <c r="A14" s="18" t="n">
        <v>8</v>
      </c>
      <c r="B14" s="10"/>
      <c r="C14" s="10"/>
      <c r="D14" s="10"/>
      <c r="E14" s="10"/>
      <c r="F14" s="19"/>
      <c r="G14" s="19"/>
      <c r="H14" s="19"/>
      <c r="I14" s="19"/>
      <c r="J14" s="20" t="str">
        <f aca="false">IF(COUNT(F14:I14)&lt;4,"",ROUND(SUMPRODUCT(F14:I14,$C$4:$F$4)/SUM($C$4:$F$4)*20,0))</f>
        <v/>
      </c>
      <c r="K14" s="20" t="str">
        <f aca="false">IF(J14="","",RANK(J14,$J$7:$J$36))</f>
        <v/>
      </c>
      <c r="L14" s="17" t="str">
        <f aca="false">IF(J14="","",IF(J14&gt;=75,"High",IF(J14&gt;=55,"Medium","Low")))</f>
        <v/>
      </c>
    </row>
    <row r="15" customFormat="false" ht="30" hidden="false" customHeight="true" outlineLevel="0" collapsed="false">
      <c r="A15" s="18" t="n">
        <v>9</v>
      </c>
      <c r="B15" s="10"/>
      <c r="C15" s="10"/>
      <c r="D15" s="10"/>
      <c r="E15" s="10"/>
      <c r="F15" s="19"/>
      <c r="G15" s="19"/>
      <c r="H15" s="19"/>
      <c r="I15" s="19"/>
      <c r="J15" s="20" t="str">
        <f aca="false">IF(COUNT(F15:I15)&lt;4,"",ROUND(SUMPRODUCT(F15:I15,$C$4:$F$4)/SUM($C$4:$F$4)*20,0))</f>
        <v/>
      </c>
      <c r="K15" s="20" t="str">
        <f aca="false">IF(J15="","",RANK(J15,$J$7:$J$36))</f>
        <v/>
      </c>
      <c r="L15" s="17" t="str">
        <f aca="false">IF(J15="","",IF(J15&gt;=75,"High",IF(J15&gt;=55,"Medium","Low")))</f>
        <v/>
      </c>
    </row>
    <row r="16" customFormat="false" ht="30" hidden="false" customHeight="true" outlineLevel="0" collapsed="false">
      <c r="A16" s="18" t="n">
        <v>10</v>
      </c>
      <c r="B16" s="10"/>
      <c r="C16" s="10"/>
      <c r="D16" s="10"/>
      <c r="E16" s="10"/>
      <c r="F16" s="19"/>
      <c r="G16" s="19"/>
      <c r="H16" s="19"/>
      <c r="I16" s="19"/>
      <c r="J16" s="20" t="str">
        <f aca="false">IF(COUNT(F16:I16)&lt;4,"",ROUND(SUMPRODUCT(F16:I16,$C$4:$F$4)/SUM($C$4:$F$4)*20,0))</f>
        <v/>
      </c>
      <c r="K16" s="20" t="str">
        <f aca="false">IF(J16="","",RANK(J16,$J$7:$J$36))</f>
        <v/>
      </c>
      <c r="L16" s="17" t="str">
        <f aca="false">IF(J16="","",IF(J16&gt;=75,"High",IF(J16&gt;=55,"Medium","Low")))</f>
        <v/>
      </c>
    </row>
    <row r="17" customFormat="false" ht="30" hidden="false" customHeight="true" outlineLevel="0" collapsed="false">
      <c r="A17" s="18" t="n">
        <v>11</v>
      </c>
      <c r="B17" s="10"/>
      <c r="C17" s="10"/>
      <c r="D17" s="10"/>
      <c r="E17" s="10"/>
      <c r="F17" s="19"/>
      <c r="G17" s="19"/>
      <c r="H17" s="19"/>
      <c r="I17" s="19"/>
      <c r="J17" s="20" t="str">
        <f aca="false">IF(COUNT(F17:I17)&lt;4,"",ROUND(SUMPRODUCT(F17:I17,$C$4:$F$4)/SUM($C$4:$F$4)*20,0))</f>
        <v/>
      </c>
      <c r="K17" s="20" t="str">
        <f aca="false">IF(J17="","",RANK(J17,$J$7:$J$36))</f>
        <v/>
      </c>
      <c r="L17" s="17" t="str">
        <f aca="false">IF(J17="","",IF(J17&gt;=75,"High",IF(J17&gt;=55,"Medium","Low")))</f>
        <v/>
      </c>
    </row>
    <row r="18" customFormat="false" ht="30" hidden="false" customHeight="true" outlineLevel="0" collapsed="false">
      <c r="A18" s="18" t="n">
        <v>12</v>
      </c>
      <c r="B18" s="10"/>
      <c r="C18" s="10"/>
      <c r="D18" s="10"/>
      <c r="E18" s="10"/>
      <c r="F18" s="19"/>
      <c r="G18" s="19"/>
      <c r="H18" s="19"/>
      <c r="I18" s="19"/>
      <c r="J18" s="20" t="str">
        <f aca="false">IF(COUNT(F18:I18)&lt;4,"",ROUND(SUMPRODUCT(F18:I18,$C$4:$F$4)/SUM($C$4:$F$4)*20,0))</f>
        <v/>
      </c>
      <c r="K18" s="20" t="str">
        <f aca="false">IF(J18="","",RANK(J18,$J$7:$J$36))</f>
        <v/>
      </c>
      <c r="L18" s="17" t="str">
        <f aca="false">IF(J18="","",IF(J18&gt;=75,"High",IF(J18&gt;=55,"Medium","Low")))</f>
        <v/>
      </c>
    </row>
    <row r="19" customFormat="false" ht="30" hidden="false" customHeight="true" outlineLevel="0" collapsed="false">
      <c r="A19" s="18" t="n">
        <v>13</v>
      </c>
      <c r="B19" s="10"/>
      <c r="C19" s="10"/>
      <c r="D19" s="10"/>
      <c r="E19" s="10"/>
      <c r="F19" s="19"/>
      <c r="G19" s="19"/>
      <c r="H19" s="19"/>
      <c r="I19" s="19"/>
      <c r="J19" s="20" t="str">
        <f aca="false">IF(COUNT(F19:I19)&lt;4,"",ROUND(SUMPRODUCT(F19:I19,$C$4:$F$4)/SUM($C$4:$F$4)*20,0))</f>
        <v/>
      </c>
      <c r="K19" s="20" t="str">
        <f aca="false">IF(J19="","",RANK(J19,$J$7:$J$36))</f>
        <v/>
      </c>
      <c r="L19" s="17" t="str">
        <f aca="false">IF(J19="","",IF(J19&gt;=75,"High",IF(J19&gt;=55,"Medium","Low")))</f>
        <v/>
      </c>
    </row>
    <row r="20" customFormat="false" ht="30" hidden="false" customHeight="true" outlineLevel="0" collapsed="false">
      <c r="A20" s="18" t="n">
        <v>14</v>
      </c>
      <c r="B20" s="10"/>
      <c r="C20" s="10"/>
      <c r="D20" s="10"/>
      <c r="E20" s="10"/>
      <c r="F20" s="19"/>
      <c r="G20" s="19"/>
      <c r="H20" s="19"/>
      <c r="I20" s="19"/>
      <c r="J20" s="20" t="str">
        <f aca="false">IF(COUNT(F20:I20)&lt;4,"",ROUND(SUMPRODUCT(F20:I20,$C$4:$F$4)/SUM($C$4:$F$4)*20,0))</f>
        <v/>
      </c>
      <c r="K20" s="20" t="str">
        <f aca="false">IF(J20="","",RANK(J20,$J$7:$J$36))</f>
        <v/>
      </c>
      <c r="L20" s="17" t="str">
        <f aca="false">IF(J20="","",IF(J20&gt;=75,"High",IF(J20&gt;=55,"Medium","Low")))</f>
        <v/>
      </c>
    </row>
    <row r="21" customFormat="false" ht="30" hidden="false" customHeight="true" outlineLevel="0" collapsed="false">
      <c r="A21" s="18" t="n">
        <v>15</v>
      </c>
      <c r="B21" s="10"/>
      <c r="C21" s="10"/>
      <c r="D21" s="10"/>
      <c r="E21" s="10"/>
      <c r="F21" s="19"/>
      <c r="G21" s="19"/>
      <c r="H21" s="19"/>
      <c r="I21" s="19"/>
      <c r="J21" s="20" t="str">
        <f aca="false">IF(COUNT(F21:I21)&lt;4,"",ROUND(SUMPRODUCT(F21:I21,$C$4:$F$4)/SUM($C$4:$F$4)*20,0))</f>
        <v/>
      </c>
      <c r="K21" s="20" t="str">
        <f aca="false">IF(J21="","",RANK(J21,$J$7:$J$36))</f>
        <v/>
      </c>
      <c r="L21" s="17" t="str">
        <f aca="false">IF(J21="","",IF(J21&gt;=75,"High",IF(J21&gt;=55,"Medium","Low")))</f>
        <v/>
      </c>
    </row>
    <row r="22" customFormat="false" ht="30" hidden="false" customHeight="true" outlineLevel="0" collapsed="false">
      <c r="A22" s="18" t="n">
        <v>16</v>
      </c>
      <c r="B22" s="10"/>
      <c r="C22" s="10"/>
      <c r="D22" s="10"/>
      <c r="E22" s="10"/>
      <c r="F22" s="19"/>
      <c r="G22" s="19"/>
      <c r="H22" s="19"/>
      <c r="I22" s="19"/>
      <c r="J22" s="20" t="str">
        <f aca="false">IF(COUNT(F22:I22)&lt;4,"",ROUND(SUMPRODUCT(F22:I22,$C$4:$F$4)/SUM($C$4:$F$4)*20,0))</f>
        <v/>
      </c>
      <c r="K22" s="20" t="str">
        <f aca="false">IF(J22="","",RANK(J22,$J$7:$J$36))</f>
        <v/>
      </c>
      <c r="L22" s="17" t="str">
        <f aca="false">IF(J22="","",IF(J22&gt;=75,"High",IF(J22&gt;=55,"Medium","Low")))</f>
        <v/>
      </c>
    </row>
    <row r="23" customFormat="false" ht="30" hidden="false" customHeight="true" outlineLevel="0" collapsed="false">
      <c r="A23" s="18" t="n">
        <v>17</v>
      </c>
      <c r="B23" s="10"/>
      <c r="C23" s="10"/>
      <c r="D23" s="10"/>
      <c r="E23" s="10"/>
      <c r="F23" s="19"/>
      <c r="G23" s="19"/>
      <c r="H23" s="19"/>
      <c r="I23" s="19"/>
      <c r="J23" s="20" t="str">
        <f aca="false">IF(COUNT(F23:I23)&lt;4,"",ROUND(SUMPRODUCT(F23:I23,$C$4:$F$4)/SUM($C$4:$F$4)*20,0))</f>
        <v/>
      </c>
      <c r="K23" s="20" t="str">
        <f aca="false">IF(J23="","",RANK(J23,$J$7:$J$36))</f>
        <v/>
      </c>
      <c r="L23" s="17" t="str">
        <f aca="false">IF(J23="","",IF(J23&gt;=75,"High",IF(J23&gt;=55,"Medium","Low")))</f>
        <v/>
      </c>
    </row>
    <row r="24" customFormat="false" ht="30" hidden="false" customHeight="true" outlineLevel="0" collapsed="false">
      <c r="A24" s="18" t="n">
        <v>18</v>
      </c>
      <c r="B24" s="10"/>
      <c r="C24" s="10"/>
      <c r="D24" s="10"/>
      <c r="E24" s="10"/>
      <c r="F24" s="19"/>
      <c r="G24" s="19"/>
      <c r="H24" s="19"/>
      <c r="I24" s="19"/>
      <c r="J24" s="20" t="str">
        <f aca="false">IF(COUNT(F24:I24)&lt;4,"",ROUND(SUMPRODUCT(F24:I24,$C$4:$F$4)/SUM($C$4:$F$4)*20,0))</f>
        <v/>
      </c>
      <c r="K24" s="20" t="str">
        <f aca="false">IF(J24="","",RANK(J24,$J$7:$J$36))</f>
        <v/>
      </c>
      <c r="L24" s="17" t="str">
        <f aca="false">IF(J24="","",IF(J24&gt;=75,"High",IF(J24&gt;=55,"Medium","Low")))</f>
        <v/>
      </c>
    </row>
    <row r="25" customFormat="false" ht="30" hidden="false" customHeight="true" outlineLevel="0" collapsed="false">
      <c r="A25" s="18" t="n">
        <v>19</v>
      </c>
      <c r="B25" s="10"/>
      <c r="C25" s="10"/>
      <c r="D25" s="10"/>
      <c r="E25" s="10"/>
      <c r="F25" s="19"/>
      <c r="G25" s="19"/>
      <c r="H25" s="19"/>
      <c r="I25" s="19"/>
      <c r="J25" s="20" t="str">
        <f aca="false">IF(COUNT(F25:I25)&lt;4,"",ROUND(SUMPRODUCT(F25:I25,$C$4:$F$4)/SUM($C$4:$F$4)*20,0))</f>
        <v/>
      </c>
      <c r="K25" s="20" t="str">
        <f aca="false">IF(J25="","",RANK(J25,$J$7:$J$36))</f>
        <v/>
      </c>
      <c r="L25" s="17" t="str">
        <f aca="false">IF(J25="","",IF(J25&gt;=75,"High",IF(J25&gt;=55,"Medium","Low")))</f>
        <v/>
      </c>
    </row>
    <row r="26" customFormat="false" ht="30" hidden="false" customHeight="true" outlineLevel="0" collapsed="false">
      <c r="A26" s="18" t="n">
        <v>20</v>
      </c>
      <c r="B26" s="10"/>
      <c r="C26" s="10"/>
      <c r="D26" s="10"/>
      <c r="E26" s="10"/>
      <c r="F26" s="19"/>
      <c r="G26" s="19"/>
      <c r="H26" s="19"/>
      <c r="I26" s="19"/>
      <c r="J26" s="20" t="str">
        <f aca="false">IF(COUNT(F26:I26)&lt;4,"",ROUND(SUMPRODUCT(F26:I26,$C$4:$F$4)/SUM($C$4:$F$4)*20,0))</f>
        <v/>
      </c>
      <c r="K26" s="20" t="str">
        <f aca="false">IF(J26="","",RANK(J26,$J$7:$J$36))</f>
        <v/>
      </c>
      <c r="L26" s="17" t="str">
        <f aca="false">IF(J26="","",IF(J26&gt;=75,"High",IF(J26&gt;=55,"Medium","Low")))</f>
        <v/>
      </c>
    </row>
    <row r="27" customFormat="false" ht="30" hidden="false" customHeight="true" outlineLevel="0" collapsed="false">
      <c r="A27" s="18" t="n">
        <v>21</v>
      </c>
      <c r="B27" s="10"/>
      <c r="C27" s="10"/>
      <c r="D27" s="10"/>
      <c r="E27" s="10"/>
      <c r="F27" s="19"/>
      <c r="G27" s="19"/>
      <c r="H27" s="19"/>
      <c r="I27" s="19"/>
      <c r="J27" s="20" t="str">
        <f aca="false">IF(COUNT(F27:I27)&lt;4,"",ROUND(SUMPRODUCT(F27:I27,$C$4:$F$4)/SUM($C$4:$F$4)*20,0))</f>
        <v/>
      </c>
      <c r="K27" s="20" t="str">
        <f aca="false">IF(J27="","",RANK(J27,$J$7:$J$36))</f>
        <v/>
      </c>
      <c r="L27" s="17" t="str">
        <f aca="false">IF(J27="","",IF(J27&gt;=75,"High",IF(J27&gt;=55,"Medium","Low")))</f>
        <v/>
      </c>
    </row>
    <row r="28" customFormat="false" ht="30" hidden="false" customHeight="true" outlineLevel="0" collapsed="false">
      <c r="A28" s="18" t="n">
        <v>22</v>
      </c>
      <c r="B28" s="10"/>
      <c r="C28" s="10"/>
      <c r="D28" s="10"/>
      <c r="E28" s="10"/>
      <c r="F28" s="19"/>
      <c r="G28" s="19"/>
      <c r="H28" s="19"/>
      <c r="I28" s="19"/>
      <c r="J28" s="20" t="str">
        <f aca="false">IF(COUNT(F28:I28)&lt;4,"",ROUND(SUMPRODUCT(F28:I28,$C$4:$F$4)/SUM($C$4:$F$4)*20,0))</f>
        <v/>
      </c>
      <c r="K28" s="20" t="str">
        <f aca="false">IF(J28="","",RANK(J28,$J$7:$J$36))</f>
        <v/>
      </c>
      <c r="L28" s="17" t="str">
        <f aca="false">IF(J28="","",IF(J28&gt;=75,"High",IF(J28&gt;=55,"Medium","Low")))</f>
        <v/>
      </c>
    </row>
    <row r="29" customFormat="false" ht="30" hidden="false" customHeight="true" outlineLevel="0" collapsed="false">
      <c r="A29" s="18" t="n">
        <v>23</v>
      </c>
      <c r="B29" s="10"/>
      <c r="C29" s="10"/>
      <c r="D29" s="10"/>
      <c r="E29" s="10"/>
      <c r="F29" s="19"/>
      <c r="G29" s="19"/>
      <c r="H29" s="19"/>
      <c r="I29" s="19"/>
      <c r="J29" s="20" t="str">
        <f aca="false">IF(COUNT(F29:I29)&lt;4,"",ROUND(SUMPRODUCT(F29:I29,$C$4:$F$4)/SUM($C$4:$F$4)*20,0))</f>
        <v/>
      </c>
      <c r="K29" s="20" t="str">
        <f aca="false">IF(J29="","",RANK(J29,$J$7:$J$36))</f>
        <v/>
      </c>
      <c r="L29" s="17" t="str">
        <f aca="false">IF(J29="","",IF(J29&gt;=75,"High",IF(J29&gt;=55,"Medium","Low")))</f>
        <v/>
      </c>
    </row>
    <row r="30" customFormat="false" ht="30" hidden="false" customHeight="true" outlineLevel="0" collapsed="false">
      <c r="A30" s="18" t="n">
        <v>24</v>
      </c>
      <c r="B30" s="10"/>
      <c r="C30" s="10"/>
      <c r="D30" s="10"/>
      <c r="E30" s="10"/>
      <c r="F30" s="19"/>
      <c r="G30" s="19"/>
      <c r="H30" s="19"/>
      <c r="I30" s="19"/>
      <c r="J30" s="20" t="str">
        <f aca="false">IF(COUNT(F30:I30)&lt;4,"",ROUND(SUMPRODUCT(F30:I30,$C$4:$F$4)/SUM($C$4:$F$4)*20,0))</f>
        <v/>
      </c>
      <c r="K30" s="20" t="str">
        <f aca="false">IF(J30="","",RANK(J30,$J$7:$J$36))</f>
        <v/>
      </c>
      <c r="L30" s="17" t="str">
        <f aca="false">IF(J30="","",IF(J30&gt;=75,"High",IF(J30&gt;=55,"Medium","Low")))</f>
        <v/>
      </c>
    </row>
    <row r="31" customFormat="false" ht="30" hidden="false" customHeight="true" outlineLevel="0" collapsed="false">
      <c r="A31" s="18" t="n">
        <v>25</v>
      </c>
      <c r="B31" s="10"/>
      <c r="C31" s="10"/>
      <c r="D31" s="10"/>
      <c r="E31" s="10"/>
      <c r="F31" s="19"/>
      <c r="G31" s="19"/>
      <c r="H31" s="19"/>
      <c r="I31" s="19"/>
      <c r="J31" s="20" t="str">
        <f aca="false">IF(COUNT(F31:I31)&lt;4,"",ROUND(SUMPRODUCT(F31:I31,$C$4:$F$4)/SUM($C$4:$F$4)*20,0))</f>
        <v/>
      </c>
      <c r="K31" s="20" t="str">
        <f aca="false">IF(J31="","",RANK(J31,$J$7:$J$36))</f>
        <v/>
      </c>
      <c r="L31" s="17" t="str">
        <f aca="false">IF(J31="","",IF(J31&gt;=75,"High",IF(J31&gt;=55,"Medium","Low")))</f>
        <v/>
      </c>
    </row>
    <row r="32" customFormat="false" ht="30" hidden="false" customHeight="true" outlineLevel="0" collapsed="false">
      <c r="A32" s="18" t="n">
        <v>26</v>
      </c>
      <c r="B32" s="10"/>
      <c r="C32" s="10"/>
      <c r="D32" s="10"/>
      <c r="E32" s="10"/>
      <c r="F32" s="19"/>
      <c r="G32" s="19"/>
      <c r="H32" s="19"/>
      <c r="I32" s="19"/>
      <c r="J32" s="20" t="str">
        <f aca="false">IF(COUNT(F32:I32)&lt;4,"",ROUND(SUMPRODUCT(F32:I32,$C$4:$F$4)/SUM($C$4:$F$4)*20,0))</f>
        <v/>
      </c>
      <c r="K32" s="20" t="str">
        <f aca="false">IF(J32="","",RANK(J32,$J$7:$J$36))</f>
        <v/>
      </c>
      <c r="L32" s="17" t="str">
        <f aca="false">IF(J32="","",IF(J32&gt;=75,"High",IF(J32&gt;=55,"Medium","Low")))</f>
        <v/>
      </c>
    </row>
    <row r="33" customFormat="false" ht="30" hidden="false" customHeight="true" outlineLevel="0" collapsed="false">
      <c r="A33" s="18" t="n">
        <v>27</v>
      </c>
      <c r="B33" s="10"/>
      <c r="C33" s="10"/>
      <c r="D33" s="10"/>
      <c r="E33" s="10"/>
      <c r="F33" s="19"/>
      <c r="G33" s="19"/>
      <c r="H33" s="19"/>
      <c r="I33" s="19"/>
      <c r="J33" s="20" t="str">
        <f aca="false">IF(COUNT(F33:I33)&lt;4,"",ROUND(SUMPRODUCT(F33:I33,$C$4:$F$4)/SUM($C$4:$F$4)*20,0))</f>
        <v/>
      </c>
      <c r="K33" s="20" t="str">
        <f aca="false">IF(J33="","",RANK(J33,$J$7:$J$36))</f>
        <v/>
      </c>
      <c r="L33" s="17" t="str">
        <f aca="false">IF(J33="","",IF(J33&gt;=75,"High",IF(J33&gt;=55,"Medium","Low")))</f>
        <v/>
      </c>
    </row>
    <row r="34" customFormat="false" ht="30" hidden="false" customHeight="true" outlineLevel="0" collapsed="false">
      <c r="A34" s="18" t="n">
        <v>28</v>
      </c>
      <c r="B34" s="10"/>
      <c r="C34" s="10"/>
      <c r="D34" s="10"/>
      <c r="E34" s="10"/>
      <c r="F34" s="19"/>
      <c r="G34" s="19"/>
      <c r="H34" s="19"/>
      <c r="I34" s="19"/>
      <c r="J34" s="20" t="str">
        <f aca="false">IF(COUNT(F34:I34)&lt;4,"",ROUND(SUMPRODUCT(F34:I34,$C$4:$F$4)/SUM($C$4:$F$4)*20,0))</f>
        <v/>
      </c>
      <c r="K34" s="20" t="str">
        <f aca="false">IF(J34="","",RANK(J34,$J$7:$J$36))</f>
        <v/>
      </c>
      <c r="L34" s="17" t="str">
        <f aca="false">IF(J34="","",IF(J34&gt;=75,"High",IF(J34&gt;=55,"Medium","Low")))</f>
        <v/>
      </c>
    </row>
    <row r="35" customFormat="false" ht="30" hidden="false" customHeight="true" outlineLevel="0" collapsed="false">
      <c r="A35" s="18" t="n">
        <v>29</v>
      </c>
      <c r="B35" s="10"/>
      <c r="C35" s="10"/>
      <c r="D35" s="10"/>
      <c r="E35" s="10"/>
      <c r="F35" s="19"/>
      <c r="G35" s="19"/>
      <c r="H35" s="19"/>
      <c r="I35" s="19"/>
      <c r="J35" s="20" t="str">
        <f aca="false">IF(COUNT(F35:I35)&lt;4,"",ROUND(SUMPRODUCT(F35:I35,$C$4:$F$4)/SUM($C$4:$F$4)*20,0))</f>
        <v/>
      </c>
      <c r="K35" s="20" t="str">
        <f aca="false">IF(J35="","",RANK(J35,$J$7:$J$36))</f>
        <v/>
      </c>
      <c r="L35" s="17" t="str">
        <f aca="false">IF(J35="","",IF(J35&gt;=75,"High",IF(J35&gt;=55,"Medium","Low")))</f>
        <v/>
      </c>
    </row>
    <row r="36" customFormat="false" ht="30" hidden="false" customHeight="true" outlineLevel="0" collapsed="false">
      <c r="A36" s="18" t="n">
        <v>30</v>
      </c>
      <c r="B36" s="10"/>
      <c r="C36" s="10"/>
      <c r="D36" s="10"/>
      <c r="E36" s="10"/>
      <c r="F36" s="19"/>
      <c r="G36" s="19"/>
      <c r="H36" s="19"/>
      <c r="I36" s="19"/>
      <c r="J36" s="20" t="str">
        <f aca="false">IF(COUNT(F36:I36)&lt;4,"",ROUND(SUMPRODUCT(F36:I36,$C$4:$F$4)/SUM($C$4:$F$4)*20,0))</f>
        <v/>
      </c>
      <c r="K36" s="20" t="str">
        <f aca="false">IF(J36="","",RANK(J36,$J$7:$J$36))</f>
        <v/>
      </c>
      <c r="L36" s="17" t="str">
        <f aca="false">IF(J36="","",IF(J36&gt;=75,"High",IF(J36&gt;=55,"Medium","Low")))</f>
        <v/>
      </c>
    </row>
    <row r="38" customFormat="false" ht="15" hidden="false" customHeight="false" outlineLevel="0" collapsed="false">
      <c r="B38" s="6" t="s">
        <v>113</v>
      </c>
    </row>
  </sheetData>
  <autoFilter ref="A6:L36"/>
  <conditionalFormatting sqref="J7:J36">
    <cfRule type="colorScale" priority="2">
      <colorScale>
        <cfvo type="num" val="20"/>
        <cfvo type="num" val="60"/>
        <cfvo type="num" val="100"/>
        <color rgb="FFF4D6CC"/>
        <color rgb="FFFBE7B0"/>
        <color rgb="FFB7D7C2"/>
      </colorScale>
    </cfRule>
  </conditionalFormatting>
  <conditionalFormatting sqref="L7:L36">
    <cfRule type="cellIs" priority="3" operator="equal" aboveAverage="0" equalAverage="0" bottom="0" percent="0" rank="0" text="" dxfId="14">
      <formula>"High"</formula>
    </cfRule>
    <cfRule type="cellIs" priority="4" operator="equal" aboveAverage="0" equalAverage="0" bottom="0" percent="0" rank="0" text="" dxfId="15">
      <formula>"Medium"</formula>
    </cfRule>
  </conditionalFormatting>
  <conditionalFormatting sqref="H4">
    <cfRule type="cellIs" priority="5" operator="notEqual" aboveAverage="0" equalAverage="0" bottom="0" percent="0" rank="0" text="" dxfId="16">
      <formula>"OK"</formula>
    </cfRule>
  </conditionalFormatting>
  <dataValidations count="4">
    <dataValidation allowBlank="true" error="Enter a whole number from 1 to 5." errorStyle="stop" errorTitle="Rating 1–5" operator="between" showDropDown="false" showErrorMessage="true" showInputMessage="false" sqref="F7:I36" type="whole">
      <formula1>1</formula1>
      <formula2>5</formula2>
    </dataValidation>
    <dataValidation allowBlank="false" error="Enter a percentage between 0% and 100%." errorStyle="stop" errorTitle="Weight" operator="between" showDropDown="false" showErrorMessage="true" showInputMessage="false" sqref="C4:F4" type="decimal">
      <formula1>0</formula1>
      <formula2>1</formula2>
    </dataValidation>
    <dataValidation allowBlank="true" errorStyle="stop" operator="between" showDropDown="false" showErrorMessage="false" showInputMessage="false" sqref="C7:C36" type="list">
      <formula1>Lists!$A$2:$A$4</formula1>
      <formula2>0</formula2>
    </dataValidation>
    <dataValidation allowBlank="true" errorStyle="stop" operator="between" showDropDown="false" showErrorMessage="false" showInputMessage="false" sqref="E7:E36" type="list">
      <formula1>Lists!$B$2:$B$9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&amp;CAQVANI.SHOP · AI Business Operating System 2026 · Customer Persona Builder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73B2A"/>
    <pageSetUpPr fitToPage="true"/>
  </sheetPr>
  <dimension ref="A1:N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2" topLeftCell="D23" activePane="bottomRight" state="frozen"/>
      <selection pane="topLeft" activeCell="A1" activeCellId="0" sqref="A1"/>
      <selection pane="topRight" activeCell="D1" activeCellId="0" sqref="D1"/>
      <selection pane="bottomLeft" activeCell="A23" activeCellId="0" sqref="A2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10" min="4" style="0" width="13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20"/>
    <col collapsed="false" customWidth="true" hidden="false" outlineLevel="0" max="14" min="14" style="0" width="34"/>
  </cols>
  <sheetData>
    <row r="1" customFormat="false" ht="27.75" hidden="false" customHeight="true" outlineLevel="0" collapsed="false">
      <c r="A1" s="1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8" hidden="false" customHeight="true" outlineLevel="0" collapsed="false">
      <c r="A2" s="3" t="s">
        <v>115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1" t="s">
        <v>116</v>
      </c>
    </row>
    <row r="4" customFormat="false" ht="31.5" hidden="false" customHeight="true" outlineLevel="0" collapsed="false">
      <c r="A4" s="7" t="s">
        <v>84</v>
      </c>
      <c r="B4" s="7" t="s">
        <v>117</v>
      </c>
      <c r="C4" s="7" t="s">
        <v>118</v>
      </c>
      <c r="D4" s="7" t="s">
        <v>119</v>
      </c>
      <c r="E4" s="7"/>
      <c r="F4" s="7"/>
      <c r="G4" s="7" t="s">
        <v>120</v>
      </c>
      <c r="H4" s="7"/>
      <c r="I4" s="7"/>
    </row>
    <row r="5" customFormat="false" ht="30" hidden="false" customHeight="true" outlineLevel="0" collapsed="false">
      <c r="A5" s="18" t="n">
        <v>1</v>
      </c>
      <c r="B5" s="10" t="s">
        <v>121</v>
      </c>
      <c r="C5" s="16" t="n">
        <v>0.25</v>
      </c>
      <c r="D5" s="10" t="s">
        <v>122</v>
      </c>
      <c r="E5" s="10"/>
      <c r="F5" s="10"/>
      <c r="G5" s="10" t="s">
        <v>123</v>
      </c>
      <c r="H5" s="10"/>
      <c r="I5" s="10"/>
    </row>
    <row r="6" customFormat="false" ht="30" hidden="false" customHeight="true" outlineLevel="0" collapsed="false">
      <c r="A6" s="18" t="n">
        <v>2</v>
      </c>
      <c r="B6" s="10" t="s">
        <v>124</v>
      </c>
      <c r="C6" s="16" t="n">
        <v>0.25</v>
      </c>
      <c r="D6" s="10" t="s">
        <v>125</v>
      </c>
      <c r="E6" s="10"/>
      <c r="F6" s="10"/>
      <c r="G6" s="10" t="s">
        <v>126</v>
      </c>
      <c r="H6" s="10"/>
      <c r="I6" s="10"/>
    </row>
    <row r="7" customFormat="false" ht="30" hidden="false" customHeight="true" outlineLevel="0" collapsed="false">
      <c r="A7" s="18" t="n">
        <v>3</v>
      </c>
      <c r="B7" s="10" t="s">
        <v>127</v>
      </c>
      <c r="C7" s="16" t="n">
        <v>0.2</v>
      </c>
      <c r="D7" s="10" t="s">
        <v>128</v>
      </c>
      <c r="E7" s="10"/>
      <c r="F7" s="10"/>
      <c r="G7" s="10" t="s">
        <v>129</v>
      </c>
      <c r="H7" s="10"/>
      <c r="I7" s="10"/>
    </row>
    <row r="8" customFormat="false" ht="30" hidden="false" customHeight="true" outlineLevel="0" collapsed="false">
      <c r="A8" s="18" t="n">
        <v>4</v>
      </c>
      <c r="B8" s="10" t="s">
        <v>130</v>
      </c>
      <c r="C8" s="16" t="n">
        <v>0.15</v>
      </c>
      <c r="D8" s="10" t="s">
        <v>131</v>
      </c>
      <c r="E8" s="10"/>
      <c r="F8" s="10"/>
      <c r="G8" s="10" t="s">
        <v>132</v>
      </c>
      <c r="H8" s="10"/>
      <c r="I8" s="10"/>
    </row>
    <row r="9" customFormat="false" ht="30" hidden="false" customHeight="true" outlineLevel="0" collapsed="false">
      <c r="A9" s="18" t="n">
        <v>5</v>
      </c>
      <c r="B9" s="10" t="s">
        <v>133</v>
      </c>
      <c r="C9" s="16" t="n">
        <v>0.15</v>
      </c>
      <c r="D9" s="10" t="s">
        <v>134</v>
      </c>
      <c r="E9" s="10"/>
      <c r="F9" s="10"/>
      <c r="G9" s="10" t="s">
        <v>135</v>
      </c>
      <c r="H9" s="10"/>
      <c r="I9" s="10"/>
    </row>
    <row r="10" customFormat="false" ht="30" hidden="false" customHeight="true" outlineLevel="0" collapsed="false">
      <c r="A10" s="18" t="n">
        <v>6</v>
      </c>
      <c r="B10" s="10"/>
      <c r="C10" s="16"/>
      <c r="D10" s="10"/>
      <c r="E10" s="10"/>
      <c r="F10" s="10"/>
      <c r="G10" s="10"/>
      <c r="H10" s="10"/>
      <c r="I10" s="10"/>
    </row>
    <row r="11" customFormat="false" ht="30" hidden="false" customHeight="true" outlineLevel="0" collapsed="false">
      <c r="A11" s="18" t="n">
        <v>7</v>
      </c>
      <c r="B11" s="10"/>
      <c r="C11" s="16"/>
      <c r="D11" s="10"/>
      <c r="E11" s="10"/>
      <c r="F11" s="10"/>
      <c r="G11" s="10"/>
      <c r="H11" s="10"/>
      <c r="I11" s="10"/>
    </row>
    <row r="12" customFormat="false" ht="15" hidden="false" customHeight="false" outlineLevel="0" collapsed="false">
      <c r="B12" s="14" t="s">
        <v>136</v>
      </c>
      <c r="C12" s="13" t="n">
        <f aca="false">SUM(C5:C11)</f>
        <v>1</v>
      </c>
      <c r="D12" s="17" t="str">
        <f aca="false">IF(ROUND(C12,4)=1,"OK","Weights must total 100%")</f>
        <v>OK</v>
      </c>
    </row>
    <row r="14" customFormat="false" ht="15" hidden="false" customHeight="false" outlineLevel="0" collapsed="false">
      <c r="A14" s="14" t="s">
        <v>137</v>
      </c>
    </row>
    <row r="15" customFormat="false" ht="15" hidden="false" customHeight="true" outlineLevel="0" collapsed="false">
      <c r="B15" s="22" t="s">
        <v>138</v>
      </c>
      <c r="C15" s="22"/>
      <c r="D15" s="22"/>
      <c r="E15" s="22"/>
      <c r="F15" s="22"/>
      <c r="G15" s="22"/>
      <c r="H15" s="22"/>
      <c r="I15" s="22"/>
    </row>
    <row r="16" customFormat="false" ht="15" hidden="false" customHeight="true" outlineLevel="0" collapsed="false">
      <c r="B16" s="22" t="s">
        <v>139</v>
      </c>
      <c r="C16" s="22"/>
      <c r="D16" s="22"/>
      <c r="E16" s="22"/>
      <c r="F16" s="22"/>
      <c r="G16" s="22"/>
      <c r="H16" s="22"/>
      <c r="I16" s="22"/>
    </row>
    <row r="17" customFormat="false" ht="15" hidden="false" customHeight="true" outlineLevel="0" collapsed="false">
      <c r="B17" s="22" t="s">
        <v>140</v>
      </c>
      <c r="C17" s="22"/>
      <c r="D17" s="22"/>
      <c r="E17" s="22"/>
      <c r="F17" s="22"/>
      <c r="G17" s="22"/>
      <c r="H17" s="22"/>
      <c r="I17" s="22"/>
    </row>
    <row r="20" customFormat="false" ht="15" hidden="false" customHeight="false" outlineLevel="0" collapsed="false">
      <c r="A20" s="21" t="s">
        <v>141</v>
      </c>
      <c r="D20" s="6" t="s">
        <v>142</v>
      </c>
    </row>
    <row r="21" customFormat="false" ht="15" hidden="false" customHeight="false" outlineLevel="0" collapsed="false">
      <c r="C21" s="23" t="s">
        <v>143</v>
      </c>
      <c r="D21" s="13" t="n">
        <f aca="false">IF($C$5="",0,$C$5)</f>
        <v>0.25</v>
      </c>
      <c r="E21" s="13" t="n">
        <f aca="false">IF($C$6="",0,$C$6)</f>
        <v>0.25</v>
      </c>
      <c r="F21" s="13" t="n">
        <f aca="false">IF($C$7="",0,$C$7)</f>
        <v>0.2</v>
      </c>
      <c r="G21" s="13" t="n">
        <f aca="false">IF($C$8="",0,$C$8)</f>
        <v>0.15</v>
      </c>
      <c r="H21" s="13" t="n">
        <f aca="false">IF($C$9="",0,$C$9)</f>
        <v>0.15</v>
      </c>
      <c r="I21" s="13" t="n">
        <f aca="false">IF($C$10="",0,$C$10)</f>
        <v>0</v>
      </c>
      <c r="J21" s="13" t="n">
        <f aca="false">IF($C$11="",0,$C$11)</f>
        <v>0</v>
      </c>
    </row>
    <row r="22" customFormat="false" ht="54" hidden="false" customHeight="true" outlineLevel="0" collapsed="false">
      <c r="A22" s="7" t="s">
        <v>144</v>
      </c>
      <c r="B22" s="7" t="s">
        <v>145</v>
      </c>
      <c r="C22" s="7" t="s">
        <v>146</v>
      </c>
      <c r="D22" s="7" t="str">
        <f aca="false">IF($B$5="","Criterion 1",$B$5)</f>
        <v>Example — Business type &amp; size</v>
      </c>
      <c r="E22" s="7" t="str">
        <f aca="false">IF($B$6="","Criterion 2",$B$6)</f>
        <v>Example — Pain urgency</v>
      </c>
      <c r="F22" s="7" t="str">
        <f aca="false">IF($B$7="","Criterion 3",$B$7)</f>
        <v>Example — Decision-maker access</v>
      </c>
      <c r="G22" s="7" t="str">
        <f aca="false">IF($B$8="","Criterion 4",$B$8)</f>
        <v>Example — Budget readiness</v>
      </c>
      <c r="H22" s="7" t="str">
        <f aca="false">IF($B$9="","Criterion 5",$B$9)</f>
        <v>Example — Location</v>
      </c>
      <c r="I22" s="7" t="str">
        <f aca="false">IF($B$10="","Criterion 6",$B$10)</f>
        <v>Criterion 6</v>
      </c>
      <c r="J22" s="7" t="str">
        <f aca="false">IF($B$11="","Criterion 7",$B$11)</f>
        <v>Criterion 7</v>
      </c>
      <c r="K22" s="7" t="s">
        <v>147</v>
      </c>
      <c r="L22" s="7" t="s">
        <v>148</v>
      </c>
      <c r="M22" s="7" t="s">
        <v>149</v>
      </c>
      <c r="N22" s="7" t="s">
        <v>150</v>
      </c>
    </row>
    <row r="23" customFormat="false" ht="30" hidden="false" customHeight="true" outlineLevel="0" collapsed="false">
      <c r="A23" s="10" t="s">
        <v>151</v>
      </c>
      <c r="B23" s="10" t="s">
        <v>152</v>
      </c>
      <c r="C23" s="24"/>
      <c r="D23" s="19" t="n">
        <v>5</v>
      </c>
      <c r="E23" s="19" t="n">
        <v>5</v>
      </c>
      <c r="F23" s="19" t="n">
        <v>5</v>
      </c>
      <c r="G23" s="19" t="n">
        <v>4</v>
      </c>
      <c r="H23" s="19" t="n">
        <v>4</v>
      </c>
      <c r="I23" s="19"/>
      <c r="J23" s="19"/>
      <c r="K23" s="19" t="s">
        <v>153</v>
      </c>
      <c r="L23" s="13" t="n">
        <f aca="false">IF(COUNT(D23:J23)=0,"",SUMPRODUCT(D23:J23,$D$21:$J$21)/5)</f>
        <v>0.94</v>
      </c>
      <c r="M23" s="17" t="str">
        <f aca="false">IF(L23="","",IF(K23="Yes","Red flag — review",IF(L23&gt;=0.8,"Ideal",IF(L23&gt;=0.6,"Good",IF(L23&gt;=0.4,"Possible","Poor")))))</f>
        <v>Ideal</v>
      </c>
      <c r="N23" s="25" t="str">
        <f aca="false">IF(M23="","",IF(M23="Ideal","Prioritise — respond same day",IF(M23="Good","Pursue with standard process",IF(M23="Possible","Offer a lighter or self-serve option",IF(M23="Poor","Decline politely or refer","Check red flag before proceeding")))))</f>
        <v>Prioritise — respond same day</v>
      </c>
    </row>
    <row r="24" customFormat="false" ht="30" hidden="false" customHeight="true" outlineLevel="0" collapsed="false">
      <c r="A24" s="10" t="s">
        <v>154</v>
      </c>
      <c r="B24" s="10" t="s">
        <v>155</v>
      </c>
      <c r="C24" s="24"/>
      <c r="D24" s="19" t="n">
        <v>2</v>
      </c>
      <c r="E24" s="19" t="n">
        <v>3</v>
      </c>
      <c r="F24" s="19" t="n">
        <v>1</v>
      </c>
      <c r="G24" s="19" t="n">
        <v>2</v>
      </c>
      <c r="H24" s="19" t="n">
        <v>5</v>
      </c>
      <c r="I24" s="19"/>
      <c r="J24" s="19"/>
      <c r="K24" s="19" t="s">
        <v>153</v>
      </c>
      <c r="L24" s="13" t="n">
        <f aca="false">IF(COUNT(D24:J24)=0,"",SUMPRODUCT(D24:J24,$D$21:$J$21)/5)</f>
        <v>0.5</v>
      </c>
      <c r="M24" s="17" t="str">
        <f aca="false">IF(L24="","",IF(K24="Yes","Red flag — review",IF(L24&gt;=0.8,"Ideal",IF(L24&gt;=0.6,"Good",IF(L24&gt;=0.4,"Possible","Poor")))))</f>
        <v>Possible</v>
      </c>
      <c r="N24" s="25" t="str">
        <f aca="false">IF(M24="","",IF(M24="Ideal","Prioritise — respond same day",IF(M24="Good","Pursue with standard process",IF(M24="Possible","Offer a lighter or self-serve option",IF(M24="Poor","Decline politely or refer","Check red flag before proceeding")))))</f>
        <v>Offer a lighter or self-serve option</v>
      </c>
    </row>
    <row r="25" customFormat="false" ht="30" hidden="false" customHeight="true" outlineLevel="0" collapsed="false">
      <c r="A25" s="10" t="s">
        <v>156</v>
      </c>
      <c r="B25" s="10" t="s">
        <v>157</v>
      </c>
      <c r="C25" s="24"/>
      <c r="D25" s="19" t="n">
        <v>5</v>
      </c>
      <c r="E25" s="19" t="n">
        <v>4</v>
      </c>
      <c r="F25" s="19" t="n">
        <v>5</v>
      </c>
      <c r="G25" s="19" t="n">
        <v>4</v>
      </c>
      <c r="H25" s="19" t="n">
        <v>4</v>
      </c>
      <c r="I25" s="19"/>
      <c r="J25" s="19"/>
      <c r="K25" s="19" t="s">
        <v>158</v>
      </c>
      <c r="L25" s="13" t="n">
        <f aca="false">IF(COUNT(D25:J25)=0,"",SUMPRODUCT(D25:J25,$D$21:$J$21)/5)</f>
        <v>0.89</v>
      </c>
      <c r="M25" s="17" t="str">
        <f aca="false">IF(L25="","",IF(K25="Yes","Red flag — review",IF(L25&gt;=0.8,"Ideal",IF(L25&gt;=0.6,"Good",IF(L25&gt;=0.4,"Possible","Poor")))))</f>
        <v>Red flag — review</v>
      </c>
      <c r="N25" s="25" t="str">
        <f aca="false">IF(M25="","",IF(M25="Ideal","Prioritise — respond same day",IF(M25="Good","Pursue with standard process",IF(M25="Possible","Offer a lighter or self-serve option",IF(M25="Poor","Decline politely or refer","Check red flag before proceeding")))))</f>
        <v>Check red flag before proceeding</v>
      </c>
    </row>
    <row r="26" customFormat="false" ht="30" hidden="false" customHeight="true" outlineLevel="0" collapsed="false">
      <c r="A26" s="10"/>
      <c r="B26" s="10"/>
      <c r="C26" s="24"/>
      <c r="D26" s="19"/>
      <c r="E26" s="19"/>
      <c r="F26" s="19"/>
      <c r="G26" s="19"/>
      <c r="H26" s="19"/>
      <c r="I26" s="19"/>
      <c r="J26" s="19"/>
      <c r="K26" s="19"/>
      <c r="L26" s="13" t="str">
        <f aca="false">IF(COUNT(D26:J26)=0,"",SUMPRODUCT(D26:J26,$D$21:$J$21)/5)</f>
        <v/>
      </c>
      <c r="M26" s="17" t="str">
        <f aca="false">IF(L26="","",IF(K26="Yes","Red flag — review",IF(L26&gt;=0.8,"Ideal",IF(L26&gt;=0.6,"Good",IF(L26&gt;=0.4,"Possible","Poor")))))</f>
        <v/>
      </c>
      <c r="N26" s="25" t="str">
        <f aca="false">IF(M26="","",IF(M26="Ideal","Prioritise — respond same day",IF(M26="Good","Pursue with standard process",IF(M26="Possible","Offer a lighter or self-serve option",IF(M26="Poor","Decline politely or refer","Check red flag before proceeding")))))</f>
        <v/>
      </c>
    </row>
    <row r="27" customFormat="false" ht="30" hidden="false" customHeight="true" outlineLevel="0" collapsed="false">
      <c r="A27" s="10"/>
      <c r="B27" s="10"/>
      <c r="C27" s="24"/>
      <c r="D27" s="19"/>
      <c r="E27" s="19"/>
      <c r="F27" s="19"/>
      <c r="G27" s="19"/>
      <c r="H27" s="19"/>
      <c r="I27" s="19"/>
      <c r="J27" s="19"/>
      <c r="K27" s="19"/>
      <c r="L27" s="13" t="str">
        <f aca="false">IF(COUNT(D27:J27)=0,"",SUMPRODUCT(D27:J27,$D$21:$J$21)/5)</f>
        <v/>
      </c>
      <c r="M27" s="17" t="str">
        <f aca="false">IF(L27="","",IF(K27="Yes","Red flag — review",IF(L27&gt;=0.8,"Ideal",IF(L27&gt;=0.6,"Good",IF(L27&gt;=0.4,"Possible","Poor")))))</f>
        <v/>
      </c>
      <c r="N27" s="25" t="str">
        <f aca="false">IF(M27="","",IF(M27="Ideal","Prioritise — respond same day",IF(M27="Good","Pursue with standard process",IF(M27="Possible","Offer a lighter or self-serve option",IF(M27="Poor","Decline politely or refer","Check red flag before proceeding")))))</f>
        <v/>
      </c>
    </row>
    <row r="28" customFormat="false" ht="30" hidden="false" customHeight="true" outlineLevel="0" collapsed="false">
      <c r="A28" s="10"/>
      <c r="B28" s="10"/>
      <c r="C28" s="24"/>
      <c r="D28" s="19"/>
      <c r="E28" s="19"/>
      <c r="F28" s="19"/>
      <c r="G28" s="19"/>
      <c r="H28" s="19"/>
      <c r="I28" s="19"/>
      <c r="J28" s="19"/>
      <c r="K28" s="19"/>
      <c r="L28" s="13" t="str">
        <f aca="false">IF(COUNT(D28:J28)=0,"",SUMPRODUCT(D28:J28,$D$21:$J$21)/5)</f>
        <v/>
      </c>
      <c r="M28" s="17" t="str">
        <f aca="false">IF(L28="","",IF(K28="Yes","Red flag — review",IF(L28&gt;=0.8,"Ideal",IF(L28&gt;=0.6,"Good",IF(L28&gt;=0.4,"Possible","Poor")))))</f>
        <v/>
      </c>
      <c r="N28" s="25" t="str">
        <f aca="false">IF(M28="","",IF(M28="Ideal","Prioritise — respond same day",IF(M28="Good","Pursue with standard process",IF(M28="Possible","Offer a lighter or self-serve option",IF(M28="Poor","Decline politely or refer","Check red flag before proceeding")))))</f>
        <v/>
      </c>
    </row>
    <row r="29" customFormat="false" ht="30" hidden="false" customHeight="true" outlineLevel="0" collapsed="false">
      <c r="A29" s="10"/>
      <c r="B29" s="10"/>
      <c r="C29" s="24"/>
      <c r="D29" s="19"/>
      <c r="E29" s="19"/>
      <c r="F29" s="19"/>
      <c r="G29" s="19"/>
      <c r="H29" s="19"/>
      <c r="I29" s="19"/>
      <c r="J29" s="19"/>
      <c r="K29" s="19"/>
      <c r="L29" s="13" t="str">
        <f aca="false">IF(COUNT(D29:J29)=0,"",SUMPRODUCT(D29:J29,$D$21:$J$21)/5)</f>
        <v/>
      </c>
      <c r="M29" s="17" t="str">
        <f aca="false">IF(L29="","",IF(K29="Yes","Red flag — review",IF(L29&gt;=0.8,"Ideal",IF(L29&gt;=0.6,"Good",IF(L29&gt;=0.4,"Possible","Poor")))))</f>
        <v/>
      </c>
      <c r="N29" s="25" t="str">
        <f aca="false">IF(M29="","",IF(M29="Ideal","Prioritise — respond same day",IF(M29="Good","Pursue with standard process",IF(M29="Possible","Offer a lighter or self-serve option",IF(M29="Poor","Decline politely or refer","Check red flag before proceeding")))))</f>
        <v/>
      </c>
    </row>
    <row r="30" customFormat="false" ht="30" hidden="false" customHeight="true" outlineLevel="0" collapsed="false">
      <c r="A30" s="10"/>
      <c r="B30" s="10"/>
      <c r="C30" s="24"/>
      <c r="D30" s="19"/>
      <c r="E30" s="19"/>
      <c r="F30" s="19"/>
      <c r="G30" s="19"/>
      <c r="H30" s="19"/>
      <c r="I30" s="19"/>
      <c r="J30" s="19"/>
      <c r="K30" s="19"/>
      <c r="L30" s="13" t="str">
        <f aca="false">IF(COUNT(D30:J30)=0,"",SUMPRODUCT(D30:J30,$D$21:$J$21)/5)</f>
        <v/>
      </c>
      <c r="M30" s="17" t="str">
        <f aca="false">IF(L30="","",IF(K30="Yes","Red flag — review",IF(L30&gt;=0.8,"Ideal",IF(L30&gt;=0.6,"Good",IF(L30&gt;=0.4,"Possible","Poor")))))</f>
        <v/>
      </c>
      <c r="N30" s="25" t="str">
        <f aca="false">IF(M30="","",IF(M30="Ideal","Prioritise — respond same day",IF(M30="Good","Pursue with standard process",IF(M30="Possible","Offer a lighter or self-serve option",IF(M30="Poor","Decline politely or refer","Check red flag before proceeding")))))</f>
        <v/>
      </c>
    </row>
    <row r="31" customFormat="false" ht="30" hidden="false" customHeight="true" outlineLevel="0" collapsed="false">
      <c r="A31" s="10"/>
      <c r="B31" s="10"/>
      <c r="C31" s="24"/>
      <c r="D31" s="19"/>
      <c r="E31" s="19"/>
      <c r="F31" s="19"/>
      <c r="G31" s="19"/>
      <c r="H31" s="19"/>
      <c r="I31" s="19"/>
      <c r="J31" s="19"/>
      <c r="K31" s="19"/>
      <c r="L31" s="13" t="str">
        <f aca="false">IF(COUNT(D31:J31)=0,"",SUMPRODUCT(D31:J31,$D$21:$J$21)/5)</f>
        <v/>
      </c>
      <c r="M31" s="17" t="str">
        <f aca="false">IF(L31="","",IF(K31="Yes","Red flag — review",IF(L31&gt;=0.8,"Ideal",IF(L31&gt;=0.6,"Good",IF(L31&gt;=0.4,"Possible","Poor")))))</f>
        <v/>
      </c>
      <c r="N31" s="25" t="str">
        <f aca="false">IF(M31="","",IF(M31="Ideal","Prioritise — respond same day",IF(M31="Good","Pursue with standard process",IF(M31="Possible","Offer a lighter or self-serve option",IF(M31="Poor","Decline politely or refer","Check red flag before proceeding")))))</f>
        <v/>
      </c>
    </row>
    <row r="32" customFormat="false" ht="30" hidden="false" customHeight="true" outlineLevel="0" collapsed="false">
      <c r="A32" s="10"/>
      <c r="B32" s="10"/>
      <c r="C32" s="24"/>
      <c r="D32" s="19"/>
      <c r="E32" s="19"/>
      <c r="F32" s="19"/>
      <c r="G32" s="19"/>
      <c r="H32" s="19"/>
      <c r="I32" s="19"/>
      <c r="J32" s="19"/>
      <c r="K32" s="19"/>
      <c r="L32" s="13" t="str">
        <f aca="false">IF(COUNT(D32:J32)=0,"",SUMPRODUCT(D32:J32,$D$21:$J$21)/5)</f>
        <v/>
      </c>
      <c r="M32" s="17" t="str">
        <f aca="false">IF(L32="","",IF(K32="Yes","Red flag — review",IF(L32&gt;=0.8,"Ideal",IF(L32&gt;=0.6,"Good",IF(L32&gt;=0.4,"Possible","Poor")))))</f>
        <v/>
      </c>
      <c r="N32" s="25" t="str">
        <f aca="false">IF(M32="","",IF(M32="Ideal","Prioritise — respond same day",IF(M32="Good","Pursue with standard process",IF(M32="Possible","Offer a lighter or self-serve option",IF(M32="Poor","Decline politely or refer","Check red flag before proceeding")))))</f>
        <v/>
      </c>
    </row>
    <row r="33" customFormat="false" ht="30" hidden="false" customHeight="true" outlineLevel="0" collapsed="false">
      <c r="A33" s="10"/>
      <c r="B33" s="10"/>
      <c r="C33" s="24"/>
      <c r="D33" s="19"/>
      <c r="E33" s="19"/>
      <c r="F33" s="19"/>
      <c r="G33" s="19"/>
      <c r="H33" s="19"/>
      <c r="I33" s="19"/>
      <c r="J33" s="19"/>
      <c r="K33" s="19"/>
      <c r="L33" s="13" t="str">
        <f aca="false">IF(COUNT(D33:J33)=0,"",SUMPRODUCT(D33:J33,$D$21:$J$21)/5)</f>
        <v/>
      </c>
      <c r="M33" s="17" t="str">
        <f aca="false">IF(L33="","",IF(K33="Yes","Red flag — review",IF(L33&gt;=0.8,"Ideal",IF(L33&gt;=0.6,"Good",IF(L33&gt;=0.4,"Possible","Poor")))))</f>
        <v/>
      </c>
      <c r="N33" s="25" t="str">
        <f aca="false">IF(M33="","",IF(M33="Ideal","Prioritise — respond same day",IF(M33="Good","Pursue with standard process",IF(M33="Possible","Offer a lighter or self-serve option",IF(M33="Poor","Decline politely or refer","Check red flag before proceeding")))))</f>
        <v/>
      </c>
    </row>
    <row r="34" customFormat="false" ht="30" hidden="false" customHeight="true" outlineLevel="0" collapsed="false">
      <c r="A34" s="10"/>
      <c r="B34" s="10"/>
      <c r="C34" s="24"/>
      <c r="D34" s="19"/>
      <c r="E34" s="19"/>
      <c r="F34" s="19"/>
      <c r="G34" s="19"/>
      <c r="H34" s="19"/>
      <c r="I34" s="19"/>
      <c r="J34" s="19"/>
      <c r="K34" s="19"/>
      <c r="L34" s="13" t="str">
        <f aca="false">IF(COUNT(D34:J34)=0,"",SUMPRODUCT(D34:J34,$D$21:$J$21)/5)</f>
        <v/>
      </c>
      <c r="M34" s="17" t="str">
        <f aca="false">IF(L34="","",IF(K34="Yes","Red flag — review",IF(L34&gt;=0.8,"Ideal",IF(L34&gt;=0.6,"Good",IF(L34&gt;=0.4,"Possible","Poor")))))</f>
        <v/>
      </c>
      <c r="N34" s="25" t="str">
        <f aca="false">IF(M34="","",IF(M34="Ideal","Prioritise — respond same day",IF(M34="Good","Pursue with standard process",IF(M34="Possible","Offer a lighter or self-serve option",IF(M34="Poor","Decline politely or refer","Check red flag before proceeding")))))</f>
        <v/>
      </c>
    </row>
    <row r="35" customFormat="false" ht="30" hidden="false" customHeight="true" outlineLevel="0" collapsed="false">
      <c r="A35" s="10"/>
      <c r="B35" s="10"/>
      <c r="C35" s="24"/>
      <c r="D35" s="19"/>
      <c r="E35" s="19"/>
      <c r="F35" s="19"/>
      <c r="G35" s="19"/>
      <c r="H35" s="19"/>
      <c r="I35" s="19"/>
      <c r="J35" s="19"/>
      <c r="K35" s="19"/>
      <c r="L35" s="13" t="str">
        <f aca="false">IF(COUNT(D35:J35)=0,"",SUMPRODUCT(D35:J35,$D$21:$J$21)/5)</f>
        <v/>
      </c>
      <c r="M35" s="17" t="str">
        <f aca="false">IF(L35="","",IF(K35="Yes","Red flag — review",IF(L35&gt;=0.8,"Ideal",IF(L35&gt;=0.6,"Good",IF(L35&gt;=0.4,"Possible","Poor")))))</f>
        <v/>
      </c>
      <c r="N35" s="25" t="str">
        <f aca="false">IF(M35="","",IF(M35="Ideal","Prioritise — respond same day",IF(M35="Good","Pursue with standard process",IF(M35="Possible","Offer a lighter or self-serve option",IF(M35="Poor","Decline politely or refer","Check red flag before proceeding")))))</f>
        <v/>
      </c>
    </row>
    <row r="36" customFormat="false" ht="30" hidden="false" customHeight="true" outlineLevel="0" collapsed="false">
      <c r="A36" s="10"/>
      <c r="B36" s="10"/>
      <c r="C36" s="24"/>
      <c r="D36" s="19"/>
      <c r="E36" s="19"/>
      <c r="F36" s="19"/>
      <c r="G36" s="19"/>
      <c r="H36" s="19"/>
      <c r="I36" s="19"/>
      <c r="J36" s="19"/>
      <c r="K36" s="19"/>
      <c r="L36" s="13" t="str">
        <f aca="false">IF(COUNT(D36:J36)=0,"",SUMPRODUCT(D36:J36,$D$21:$J$21)/5)</f>
        <v/>
      </c>
      <c r="M36" s="17" t="str">
        <f aca="false">IF(L36="","",IF(K36="Yes","Red flag — review",IF(L36&gt;=0.8,"Ideal",IF(L36&gt;=0.6,"Good",IF(L36&gt;=0.4,"Possible","Poor")))))</f>
        <v/>
      </c>
      <c r="N36" s="25" t="str">
        <f aca="false">IF(M36="","",IF(M36="Ideal","Prioritise — respond same day",IF(M36="Good","Pursue with standard process",IF(M36="Possible","Offer a lighter or self-serve option",IF(M36="Poor","Decline politely or refer","Check red flag before proceeding")))))</f>
        <v/>
      </c>
    </row>
    <row r="37" customFormat="false" ht="30" hidden="false" customHeight="true" outlineLevel="0" collapsed="false">
      <c r="A37" s="10"/>
      <c r="B37" s="10"/>
      <c r="C37" s="24"/>
      <c r="D37" s="19"/>
      <c r="E37" s="19"/>
      <c r="F37" s="19"/>
      <c r="G37" s="19"/>
      <c r="H37" s="19"/>
      <c r="I37" s="19"/>
      <c r="J37" s="19"/>
      <c r="K37" s="19"/>
      <c r="L37" s="13" t="str">
        <f aca="false">IF(COUNT(D37:J37)=0,"",SUMPRODUCT(D37:J37,$D$21:$J$21)/5)</f>
        <v/>
      </c>
      <c r="M37" s="17" t="str">
        <f aca="false">IF(L37="","",IF(K37="Yes","Red flag — review",IF(L37&gt;=0.8,"Ideal",IF(L37&gt;=0.6,"Good",IF(L37&gt;=0.4,"Possible","Poor")))))</f>
        <v/>
      </c>
      <c r="N37" s="25" t="str">
        <f aca="false">IF(M37="","",IF(M37="Ideal","Prioritise — respond same day",IF(M37="Good","Pursue with standard process",IF(M37="Possible","Offer a lighter or self-serve option",IF(M37="Poor","Decline politely or refer","Check red flag before proceeding")))))</f>
        <v/>
      </c>
    </row>
    <row r="38" customFormat="false" ht="30" hidden="false" customHeight="true" outlineLevel="0" collapsed="false">
      <c r="A38" s="10"/>
      <c r="B38" s="10"/>
      <c r="C38" s="24"/>
      <c r="D38" s="19"/>
      <c r="E38" s="19"/>
      <c r="F38" s="19"/>
      <c r="G38" s="19"/>
      <c r="H38" s="19"/>
      <c r="I38" s="19"/>
      <c r="J38" s="19"/>
      <c r="K38" s="19"/>
      <c r="L38" s="13" t="str">
        <f aca="false">IF(COUNT(D38:J38)=0,"",SUMPRODUCT(D38:J38,$D$21:$J$21)/5)</f>
        <v/>
      </c>
      <c r="M38" s="17" t="str">
        <f aca="false">IF(L38="","",IF(K38="Yes","Red flag — review",IF(L38&gt;=0.8,"Ideal",IF(L38&gt;=0.6,"Good",IF(L38&gt;=0.4,"Possible","Poor")))))</f>
        <v/>
      </c>
      <c r="N38" s="25" t="str">
        <f aca="false">IF(M38="","",IF(M38="Ideal","Prioritise — respond same day",IF(M38="Good","Pursue with standard process",IF(M38="Possible","Offer a lighter or self-serve option",IF(M38="Poor","Decline politely or refer","Check red flag before proceeding")))))</f>
        <v/>
      </c>
    </row>
    <row r="39" customFormat="false" ht="30" hidden="false" customHeight="true" outlineLevel="0" collapsed="false">
      <c r="A39" s="10"/>
      <c r="B39" s="10"/>
      <c r="C39" s="24"/>
      <c r="D39" s="19"/>
      <c r="E39" s="19"/>
      <c r="F39" s="19"/>
      <c r="G39" s="19"/>
      <c r="H39" s="19"/>
      <c r="I39" s="19"/>
      <c r="J39" s="19"/>
      <c r="K39" s="19"/>
      <c r="L39" s="13" t="str">
        <f aca="false">IF(COUNT(D39:J39)=0,"",SUMPRODUCT(D39:J39,$D$21:$J$21)/5)</f>
        <v/>
      </c>
      <c r="M39" s="17" t="str">
        <f aca="false">IF(L39="","",IF(K39="Yes","Red flag — review",IF(L39&gt;=0.8,"Ideal",IF(L39&gt;=0.6,"Good",IF(L39&gt;=0.4,"Possible","Poor")))))</f>
        <v/>
      </c>
      <c r="N39" s="25" t="str">
        <f aca="false">IF(M39="","",IF(M39="Ideal","Prioritise — respond same day",IF(M39="Good","Pursue with standard process",IF(M39="Possible","Offer a lighter or self-serve option",IF(M39="Poor","Decline politely or refer","Check red flag before proceeding")))))</f>
        <v/>
      </c>
    </row>
    <row r="40" customFormat="false" ht="30" hidden="false" customHeight="true" outlineLevel="0" collapsed="false">
      <c r="A40" s="10"/>
      <c r="B40" s="10"/>
      <c r="C40" s="24"/>
      <c r="D40" s="19"/>
      <c r="E40" s="19"/>
      <c r="F40" s="19"/>
      <c r="G40" s="19"/>
      <c r="H40" s="19"/>
      <c r="I40" s="19"/>
      <c r="J40" s="19"/>
      <c r="K40" s="19"/>
      <c r="L40" s="13" t="str">
        <f aca="false">IF(COUNT(D40:J40)=0,"",SUMPRODUCT(D40:J40,$D$21:$J$21)/5)</f>
        <v/>
      </c>
      <c r="M40" s="17" t="str">
        <f aca="false">IF(L40="","",IF(K40="Yes","Red flag — review",IF(L40&gt;=0.8,"Ideal",IF(L40&gt;=0.6,"Good",IF(L40&gt;=0.4,"Possible","Poor")))))</f>
        <v/>
      </c>
      <c r="N40" s="25" t="str">
        <f aca="false">IF(M40="","",IF(M40="Ideal","Prioritise — respond same day",IF(M40="Good","Pursue with standard process",IF(M40="Possible","Offer a lighter or self-serve option",IF(M40="Poor","Decline politely or refer","Check red flag before proceeding")))))</f>
        <v/>
      </c>
    </row>
    <row r="41" customFormat="false" ht="30" hidden="false" customHeight="true" outlineLevel="0" collapsed="false">
      <c r="A41" s="10"/>
      <c r="B41" s="10"/>
      <c r="C41" s="24"/>
      <c r="D41" s="19"/>
      <c r="E41" s="19"/>
      <c r="F41" s="19"/>
      <c r="G41" s="19"/>
      <c r="H41" s="19"/>
      <c r="I41" s="19"/>
      <c r="J41" s="19"/>
      <c r="K41" s="19"/>
      <c r="L41" s="13" t="str">
        <f aca="false">IF(COUNT(D41:J41)=0,"",SUMPRODUCT(D41:J41,$D$21:$J$21)/5)</f>
        <v/>
      </c>
      <c r="M41" s="17" t="str">
        <f aca="false">IF(L41="","",IF(K41="Yes","Red flag — review",IF(L41&gt;=0.8,"Ideal",IF(L41&gt;=0.6,"Good",IF(L41&gt;=0.4,"Possible","Poor")))))</f>
        <v/>
      </c>
      <c r="N41" s="25" t="str">
        <f aca="false">IF(M41="","",IF(M41="Ideal","Prioritise — respond same day",IF(M41="Good","Pursue with standard process",IF(M41="Possible","Offer a lighter or self-serve option",IF(M41="Poor","Decline politely or refer","Check red flag before proceeding")))))</f>
        <v/>
      </c>
    </row>
    <row r="42" customFormat="false" ht="30" hidden="false" customHeight="true" outlineLevel="0" collapsed="false">
      <c r="A42" s="10"/>
      <c r="B42" s="10"/>
      <c r="C42" s="24"/>
      <c r="D42" s="19"/>
      <c r="E42" s="19"/>
      <c r="F42" s="19"/>
      <c r="G42" s="19"/>
      <c r="H42" s="19"/>
      <c r="I42" s="19"/>
      <c r="J42" s="19"/>
      <c r="K42" s="19"/>
      <c r="L42" s="13" t="str">
        <f aca="false">IF(COUNT(D42:J42)=0,"",SUMPRODUCT(D42:J42,$D$21:$J$21)/5)</f>
        <v/>
      </c>
      <c r="M42" s="17" t="str">
        <f aca="false">IF(L42="","",IF(K42="Yes","Red flag — review",IF(L42&gt;=0.8,"Ideal",IF(L42&gt;=0.6,"Good",IF(L42&gt;=0.4,"Possible","Poor")))))</f>
        <v/>
      </c>
      <c r="N42" s="25" t="str">
        <f aca="false">IF(M42="","",IF(M42="Ideal","Prioritise — respond same day",IF(M42="Good","Pursue with standard process",IF(M42="Possible","Offer a lighter or self-serve option",IF(M42="Poor","Decline politely or refer","Check red flag before proceeding")))))</f>
        <v/>
      </c>
    </row>
    <row r="43" customFormat="false" ht="30" hidden="false" customHeight="true" outlineLevel="0" collapsed="false">
      <c r="A43" s="10"/>
      <c r="B43" s="10"/>
      <c r="C43" s="24"/>
      <c r="D43" s="19"/>
      <c r="E43" s="19"/>
      <c r="F43" s="19"/>
      <c r="G43" s="19"/>
      <c r="H43" s="19"/>
      <c r="I43" s="19"/>
      <c r="J43" s="19"/>
      <c r="K43" s="19"/>
      <c r="L43" s="13" t="str">
        <f aca="false">IF(COUNT(D43:J43)=0,"",SUMPRODUCT(D43:J43,$D$21:$J$21)/5)</f>
        <v/>
      </c>
      <c r="M43" s="17" t="str">
        <f aca="false">IF(L43="","",IF(K43="Yes","Red flag — review",IF(L43&gt;=0.8,"Ideal",IF(L43&gt;=0.6,"Good",IF(L43&gt;=0.4,"Possible","Poor")))))</f>
        <v/>
      </c>
      <c r="N43" s="25" t="str">
        <f aca="false">IF(M43="","",IF(M43="Ideal","Prioritise — respond same day",IF(M43="Good","Pursue with standard process",IF(M43="Possible","Offer a lighter or self-serve option",IF(M43="Poor","Decline politely or refer","Check red flag before proceeding")))))</f>
        <v/>
      </c>
    </row>
    <row r="44" customFormat="false" ht="30" hidden="false" customHeight="true" outlineLevel="0" collapsed="false">
      <c r="A44" s="10"/>
      <c r="B44" s="10"/>
      <c r="C44" s="24"/>
      <c r="D44" s="19"/>
      <c r="E44" s="19"/>
      <c r="F44" s="19"/>
      <c r="G44" s="19"/>
      <c r="H44" s="19"/>
      <c r="I44" s="19"/>
      <c r="J44" s="19"/>
      <c r="K44" s="19"/>
      <c r="L44" s="13" t="str">
        <f aca="false">IF(COUNT(D44:J44)=0,"",SUMPRODUCT(D44:J44,$D$21:$J$21)/5)</f>
        <v/>
      </c>
      <c r="M44" s="17" t="str">
        <f aca="false">IF(L44="","",IF(K44="Yes","Red flag — review",IF(L44&gt;=0.8,"Ideal",IF(L44&gt;=0.6,"Good",IF(L44&gt;=0.4,"Possible","Poor")))))</f>
        <v/>
      </c>
      <c r="N44" s="25" t="str">
        <f aca="false">IF(M44="","",IF(M44="Ideal","Prioritise — respond same day",IF(M44="Good","Pursue with standard process",IF(M44="Possible","Offer a lighter or self-serve option",IF(M44="Poor","Decline politely or refer","Check red flag before proceeding")))))</f>
        <v/>
      </c>
    </row>
    <row r="45" customFormat="false" ht="30" hidden="false" customHeight="true" outlineLevel="0" collapsed="false">
      <c r="A45" s="10"/>
      <c r="B45" s="10"/>
      <c r="C45" s="24"/>
      <c r="D45" s="19"/>
      <c r="E45" s="19"/>
      <c r="F45" s="19"/>
      <c r="G45" s="19"/>
      <c r="H45" s="19"/>
      <c r="I45" s="19"/>
      <c r="J45" s="19"/>
      <c r="K45" s="19"/>
      <c r="L45" s="13" t="str">
        <f aca="false">IF(COUNT(D45:J45)=0,"",SUMPRODUCT(D45:J45,$D$21:$J$21)/5)</f>
        <v/>
      </c>
      <c r="M45" s="17" t="str">
        <f aca="false">IF(L45="","",IF(K45="Yes","Red flag — review",IF(L45&gt;=0.8,"Ideal",IF(L45&gt;=0.6,"Good",IF(L45&gt;=0.4,"Possible","Poor")))))</f>
        <v/>
      </c>
      <c r="N45" s="25" t="str">
        <f aca="false">IF(M45="","",IF(M45="Ideal","Prioritise — respond same day",IF(M45="Good","Pursue with standard process",IF(M45="Possible","Offer a lighter or self-serve option",IF(M45="Poor","Decline politely or refer","Check red flag before proceeding")))))</f>
        <v/>
      </c>
    </row>
    <row r="46" customFormat="false" ht="30" hidden="false" customHeight="true" outlineLevel="0" collapsed="false">
      <c r="A46" s="10"/>
      <c r="B46" s="10"/>
      <c r="C46" s="24"/>
      <c r="D46" s="19"/>
      <c r="E46" s="19"/>
      <c r="F46" s="19"/>
      <c r="G46" s="19"/>
      <c r="H46" s="19"/>
      <c r="I46" s="19"/>
      <c r="J46" s="19"/>
      <c r="K46" s="19"/>
      <c r="L46" s="13" t="str">
        <f aca="false">IF(COUNT(D46:J46)=0,"",SUMPRODUCT(D46:J46,$D$21:$J$21)/5)</f>
        <v/>
      </c>
      <c r="M46" s="17" t="str">
        <f aca="false">IF(L46="","",IF(K46="Yes","Red flag — review",IF(L46&gt;=0.8,"Ideal",IF(L46&gt;=0.6,"Good",IF(L46&gt;=0.4,"Possible","Poor")))))</f>
        <v/>
      </c>
      <c r="N46" s="25" t="str">
        <f aca="false">IF(M46="","",IF(M46="Ideal","Prioritise — respond same day",IF(M46="Good","Pursue with standard process",IF(M46="Possible","Offer a lighter or self-serve option",IF(M46="Poor","Decline politely or refer","Check red flag before proceeding")))))</f>
        <v/>
      </c>
    </row>
    <row r="47" customFormat="false" ht="30" hidden="false" customHeight="true" outlineLevel="0" collapsed="false">
      <c r="A47" s="10"/>
      <c r="B47" s="10"/>
      <c r="C47" s="24"/>
      <c r="D47" s="19"/>
      <c r="E47" s="19"/>
      <c r="F47" s="19"/>
      <c r="G47" s="19"/>
      <c r="H47" s="19"/>
      <c r="I47" s="19"/>
      <c r="J47" s="19"/>
      <c r="K47" s="19"/>
      <c r="L47" s="13" t="str">
        <f aca="false">IF(COUNT(D47:J47)=0,"",SUMPRODUCT(D47:J47,$D$21:$J$21)/5)</f>
        <v/>
      </c>
      <c r="M47" s="17" t="str">
        <f aca="false">IF(L47="","",IF(K47="Yes","Red flag — review",IF(L47&gt;=0.8,"Ideal",IF(L47&gt;=0.6,"Good",IF(L47&gt;=0.4,"Possible","Poor")))))</f>
        <v/>
      </c>
      <c r="N47" s="25" t="str">
        <f aca="false">IF(M47="","",IF(M47="Ideal","Prioritise — respond same day",IF(M47="Good","Pursue with standard process",IF(M47="Possible","Offer a lighter or self-serve option",IF(M47="Poor","Decline politely or refer","Check red flag before proceeding")))))</f>
        <v/>
      </c>
    </row>
    <row r="48" customFormat="false" ht="30" hidden="false" customHeight="true" outlineLevel="0" collapsed="false">
      <c r="A48" s="10"/>
      <c r="B48" s="10"/>
      <c r="C48" s="24"/>
      <c r="D48" s="19"/>
      <c r="E48" s="19"/>
      <c r="F48" s="19"/>
      <c r="G48" s="19"/>
      <c r="H48" s="19"/>
      <c r="I48" s="19"/>
      <c r="J48" s="19"/>
      <c r="K48" s="19"/>
      <c r="L48" s="13" t="str">
        <f aca="false">IF(COUNT(D48:J48)=0,"",SUMPRODUCT(D48:J48,$D$21:$J$21)/5)</f>
        <v/>
      </c>
      <c r="M48" s="17" t="str">
        <f aca="false">IF(L48="","",IF(K48="Yes","Red flag — review",IF(L48&gt;=0.8,"Ideal",IF(L48&gt;=0.6,"Good",IF(L48&gt;=0.4,"Possible","Poor")))))</f>
        <v/>
      </c>
      <c r="N48" s="25" t="str">
        <f aca="false">IF(M48="","",IF(M48="Ideal","Prioritise — respond same day",IF(M48="Good","Pursue with standard process",IF(M48="Possible","Offer a lighter or self-serve option",IF(M48="Poor","Decline politely or refer","Check red flag before proceeding")))))</f>
        <v/>
      </c>
    </row>
    <row r="49" customFormat="false" ht="30" hidden="false" customHeight="true" outlineLevel="0" collapsed="false">
      <c r="A49" s="10"/>
      <c r="B49" s="10"/>
      <c r="C49" s="24"/>
      <c r="D49" s="19"/>
      <c r="E49" s="19"/>
      <c r="F49" s="19"/>
      <c r="G49" s="19"/>
      <c r="H49" s="19"/>
      <c r="I49" s="19"/>
      <c r="J49" s="19"/>
      <c r="K49" s="19"/>
      <c r="L49" s="13" t="str">
        <f aca="false">IF(COUNT(D49:J49)=0,"",SUMPRODUCT(D49:J49,$D$21:$J$21)/5)</f>
        <v/>
      </c>
      <c r="M49" s="17" t="str">
        <f aca="false">IF(L49="","",IF(K49="Yes","Red flag — review",IF(L49&gt;=0.8,"Ideal",IF(L49&gt;=0.6,"Good",IF(L49&gt;=0.4,"Possible","Poor")))))</f>
        <v/>
      </c>
      <c r="N49" s="25" t="str">
        <f aca="false">IF(M49="","",IF(M49="Ideal","Prioritise — respond same day",IF(M49="Good","Pursue with standard process",IF(M49="Possible","Offer a lighter or self-serve option",IF(M49="Poor","Decline politely or refer","Check red flag before proceeding")))))</f>
        <v/>
      </c>
    </row>
    <row r="50" customFormat="false" ht="30" hidden="false" customHeight="true" outlineLevel="0" collapsed="false">
      <c r="A50" s="10"/>
      <c r="B50" s="10"/>
      <c r="C50" s="24"/>
      <c r="D50" s="19"/>
      <c r="E50" s="19"/>
      <c r="F50" s="19"/>
      <c r="G50" s="19"/>
      <c r="H50" s="19"/>
      <c r="I50" s="19"/>
      <c r="J50" s="19"/>
      <c r="K50" s="19"/>
      <c r="L50" s="13" t="str">
        <f aca="false">IF(COUNT(D50:J50)=0,"",SUMPRODUCT(D50:J50,$D$21:$J$21)/5)</f>
        <v/>
      </c>
      <c r="M50" s="17" t="str">
        <f aca="false">IF(L50="","",IF(K50="Yes","Red flag — review",IF(L50&gt;=0.8,"Ideal",IF(L50&gt;=0.6,"Good",IF(L50&gt;=0.4,"Possible","Poor")))))</f>
        <v/>
      </c>
      <c r="N50" s="25" t="str">
        <f aca="false">IF(M50="","",IF(M50="Ideal","Prioritise — respond same day",IF(M50="Good","Pursue with standard process",IF(M50="Possible","Offer a lighter or self-serve option",IF(M50="Poor","Decline politely or refer","Check red flag before proceeding")))))</f>
        <v/>
      </c>
    </row>
    <row r="51" customFormat="false" ht="30" hidden="false" customHeight="true" outlineLevel="0" collapsed="false">
      <c r="A51" s="10"/>
      <c r="B51" s="10"/>
      <c r="C51" s="24"/>
      <c r="D51" s="19"/>
      <c r="E51" s="19"/>
      <c r="F51" s="19"/>
      <c r="G51" s="19"/>
      <c r="H51" s="19"/>
      <c r="I51" s="19"/>
      <c r="J51" s="19"/>
      <c r="K51" s="19"/>
      <c r="L51" s="13" t="str">
        <f aca="false">IF(COUNT(D51:J51)=0,"",SUMPRODUCT(D51:J51,$D$21:$J$21)/5)</f>
        <v/>
      </c>
      <c r="M51" s="17" t="str">
        <f aca="false">IF(L51="","",IF(K51="Yes","Red flag — review",IF(L51&gt;=0.8,"Ideal",IF(L51&gt;=0.6,"Good",IF(L51&gt;=0.4,"Possible","Poor")))))</f>
        <v/>
      </c>
      <c r="N51" s="25" t="str">
        <f aca="false">IF(M51="","",IF(M51="Ideal","Prioritise — respond same day",IF(M51="Good","Pursue with standard process",IF(M51="Possible","Offer a lighter or self-serve option",IF(M51="Poor","Decline politely or refer","Check red flag before proceeding")))))</f>
        <v/>
      </c>
    </row>
    <row r="52" customFormat="false" ht="30" hidden="false" customHeight="true" outlineLevel="0" collapsed="false">
      <c r="A52" s="10"/>
      <c r="B52" s="10"/>
      <c r="C52" s="24"/>
      <c r="D52" s="19"/>
      <c r="E52" s="19"/>
      <c r="F52" s="19"/>
      <c r="G52" s="19"/>
      <c r="H52" s="19"/>
      <c r="I52" s="19"/>
      <c r="J52" s="19"/>
      <c r="K52" s="19"/>
      <c r="L52" s="13" t="str">
        <f aca="false">IF(COUNT(D52:J52)=0,"",SUMPRODUCT(D52:J52,$D$21:$J$21)/5)</f>
        <v/>
      </c>
      <c r="M52" s="17" t="str">
        <f aca="false">IF(L52="","",IF(K52="Yes","Red flag — review",IF(L52&gt;=0.8,"Ideal",IF(L52&gt;=0.6,"Good",IF(L52&gt;=0.4,"Possible","Poor")))))</f>
        <v/>
      </c>
      <c r="N52" s="25" t="str">
        <f aca="false">IF(M52="","",IF(M52="Ideal","Prioritise — respond same day",IF(M52="Good","Pursue with standard process",IF(M52="Possible","Offer a lighter or self-serve option",IF(M52="Poor","Decline politely or refer","Check red flag before proceeding")))))</f>
        <v/>
      </c>
    </row>
    <row r="53" customFormat="false" ht="30" hidden="false" customHeight="true" outlineLevel="0" collapsed="false">
      <c r="A53" s="10"/>
      <c r="B53" s="10"/>
      <c r="C53" s="24"/>
      <c r="D53" s="19"/>
      <c r="E53" s="19"/>
      <c r="F53" s="19"/>
      <c r="G53" s="19"/>
      <c r="H53" s="19"/>
      <c r="I53" s="19"/>
      <c r="J53" s="19"/>
      <c r="K53" s="19"/>
      <c r="L53" s="13" t="str">
        <f aca="false">IF(COUNT(D53:J53)=0,"",SUMPRODUCT(D53:J53,$D$21:$J$21)/5)</f>
        <v/>
      </c>
      <c r="M53" s="17" t="str">
        <f aca="false">IF(L53="","",IF(K53="Yes","Red flag — review",IF(L53&gt;=0.8,"Ideal",IF(L53&gt;=0.6,"Good",IF(L53&gt;=0.4,"Possible","Poor")))))</f>
        <v/>
      </c>
      <c r="N53" s="25" t="str">
        <f aca="false">IF(M53="","",IF(M53="Ideal","Prioritise — respond same day",IF(M53="Good","Pursue with standard process",IF(M53="Possible","Offer a lighter or self-serve option",IF(M53="Poor","Decline politely or refer","Check red flag before proceeding")))))</f>
        <v/>
      </c>
    </row>
    <row r="54" customFormat="false" ht="30" hidden="false" customHeight="true" outlineLevel="0" collapsed="false">
      <c r="A54" s="10"/>
      <c r="B54" s="10"/>
      <c r="C54" s="24"/>
      <c r="D54" s="19"/>
      <c r="E54" s="19"/>
      <c r="F54" s="19"/>
      <c r="G54" s="19"/>
      <c r="H54" s="19"/>
      <c r="I54" s="19"/>
      <c r="J54" s="19"/>
      <c r="K54" s="19"/>
      <c r="L54" s="13" t="str">
        <f aca="false">IF(COUNT(D54:J54)=0,"",SUMPRODUCT(D54:J54,$D$21:$J$21)/5)</f>
        <v/>
      </c>
      <c r="M54" s="17" t="str">
        <f aca="false">IF(L54="","",IF(K54="Yes","Red flag — review",IF(L54&gt;=0.8,"Ideal",IF(L54&gt;=0.6,"Good",IF(L54&gt;=0.4,"Possible","Poor")))))</f>
        <v/>
      </c>
      <c r="N54" s="25" t="str">
        <f aca="false">IF(M54="","",IF(M54="Ideal","Prioritise — respond same day",IF(M54="Good","Pursue with standard process",IF(M54="Possible","Offer a lighter or self-serve option",IF(M54="Poor","Decline politely or refer","Check red flag before proceeding")))))</f>
        <v/>
      </c>
    </row>
    <row r="55" customFormat="false" ht="30" hidden="false" customHeight="true" outlineLevel="0" collapsed="false">
      <c r="A55" s="10"/>
      <c r="B55" s="10"/>
      <c r="C55" s="24"/>
      <c r="D55" s="19"/>
      <c r="E55" s="19"/>
      <c r="F55" s="19"/>
      <c r="G55" s="19"/>
      <c r="H55" s="19"/>
      <c r="I55" s="19"/>
      <c r="J55" s="19"/>
      <c r="K55" s="19"/>
      <c r="L55" s="13" t="str">
        <f aca="false">IF(COUNT(D55:J55)=0,"",SUMPRODUCT(D55:J55,$D$21:$J$21)/5)</f>
        <v/>
      </c>
      <c r="M55" s="17" t="str">
        <f aca="false">IF(L55="","",IF(K55="Yes","Red flag — review",IF(L55&gt;=0.8,"Ideal",IF(L55&gt;=0.6,"Good",IF(L55&gt;=0.4,"Possible","Poor")))))</f>
        <v/>
      </c>
      <c r="N55" s="25" t="str">
        <f aca="false">IF(M55="","",IF(M55="Ideal","Prioritise — respond same day",IF(M55="Good","Pursue with standard process",IF(M55="Possible","Offer a lighter or self-serve option",IF(M55="Poor","Decline politely or refer","Check red flag before proceeding")))))</f>
        <v/>
      </c>
    </row>
    <row r="56" customFormat="false" ht="30" hidden="false" customHeight="true" outlineLevel="0" collapsed="false">
      <c r="A56" s="10"/>
      <c r="B56" s="10"/>
      <c r="C56" s="24"/>
      <c r="D56" s="19"/>
      <c r="E56" s="19"/>
      <c r="F56" s="19"/>
      <c r="G56" s="19"/>
      <c r="H56" s="19"/>
      <c r="I56" s="19"/>
      <c r="J56" s="19"/>
      <c r="K56" s="19"/>
      <c r="L56" s="13" t="str">
        <f aca="false">IF(COUNT(D56:J56)=0,"",SUMPRODUCT(D56:J56,$D$21:$J$21)/5)</f>
        <v/>
      </c>
      <c r="M56" s="17" t="str">
        <f aca="false">IF(L56="","",IF(K56="Yes","Red flag — review",IF(L56&gt;=0.8,"Ideal",IF(L56&gt;=0.6,"Good",IF(L56&gt;=0.4,"Possible","Poor")))))</f>
        <v/>
      </c>
      <c r="N56" s="25" t="str">
        <f aca="false">IF(M56="","",IF(M56="Ideal","Prioritise — respond same day",IF(M56="Good","Pursue with standard process",IF(M56="Possible","Offer a lighter or self-serve option",IF(M56="Poor","Decline politely or refer","Check red flag before proceeding")))))</f>
        <v/>
      </c>
    </row>
    <row r="57" customFormat="false" ht="30" hidden="false" customHeight="true" outlineLevel="0" collapsed="false">
      <c r="A57" s="10"/>
      <c r="B57" s="10"/>
      <c r="C57" s="24"/>
      <c r="D57" s="19"/>
      <c r="E57" s="19"/>
      <c r="F57" s="19"/>
      <c r="G57" s="19"/>
      <c r="H57" s="19"/>
      <c r="I57" s="19"/>
      <c r="J57" s="19"/>
      <c r="K57" s="19"/>
      <c r="L57" s="13" t="str">
        <f aca="false">IF(COUNT(D57:J57)=0,"",SUMPRODUCT(D57:J57,$D$21:$J$21)/5)</f>
        <v/>
      </c>
      <c r="M57" s="17" t="str">
        <f aca="false">IF(L57="","",IF(K57="Yes","Red flag — review",IF(L57&gt;=0.8,"Ideal",IF(L57&gt;=0.6,"Good",IF(L57&gt;=0.4,"Possible","Poor")))))</f>
        <v/>
      </c>
      <c r="N57" s="25" t="str">
        <f aca="false">IF(M57="","",IF(M57="Ideal","Prioritise — respond same day",IF(M57="Good","Pursue with standard process",IF(M57="Possible","Offer a lighter or self-serve option",IF(M57="Poor","Decline politely or refer","Check red flag before proceeding")))))</f>
        <v/>
      </c>
    </row>
    <row r="58" customFormat="false" ht="30" hidden="false" customHeight="true" outlineLevel="0" collapsed="false">
      <c r="A58" s="10"/>
      <c r="B58" s="10"/>
      <c r="C58" s="24"/>
      <c r="D58" s="19"/>
      <c r="E58" s="19"/>
      <c r="F58" s="19"/>
      <c r="G58" s="19"/>
      <c r="H58" s="19"/>
      <c r="I58" s="19"/>
      <c r="J58" s="19"/>
      <c r="K58" s="19"/>
      <c r="L58" s="13" t="str">
        <f aca="false">IF(COUNT(D58:J58)=0,"",SUMPRODUCT(D58:J58,$D$21:$J$21)/5)</f>
        <v/>
      </c>
      <c r="M58" s="17" t="str">
        <f aca="false">IF(L58="","",IF(K58="Yes","Red flag — review",IF(L58&gt;=0.8,"Ideal",IF(L58&gt;=0.6,"Good",IF(L58&gt;=0.4,"Possible","Poor")))))</f>
        <v/>
      </c>
      <c r="N58" s="25" t="str">
        <f aca="false">IF(M58="","",IF(M58="Ideal","Prioritise — respond same day",IF(M58="Good","Pursue with standard process",IF(M58="Possible","Offer a lighter or self-serve option",IF(M58="Poor","Decline politely or refer","Check red flag before proceeding")))))</f>
        <v/>
      </c>
    </row>
    <row r="59" customFormat="false" ht="30" hidden="false" customHeight="true" outlineLevel="0" collapsed="false">
      <c r="A59" s="10"/>
      <c r="B59" s="10"/>
      <c r="C59" s="24"/>
      <c r="D59" s="19"/>
      <c r="E59" s="19"/>
      <c r="F59" s="19"/>
      <c r="G59" s="19"/>
      <c r="H59" s="19"/>
      <c r="I59" s="19"/>
      <c r="J59" s="19"/>
      <c r="K59" s="19"/>
      <c r="L59" s="13" t="str">
        <f aca="false">IF(COUNT(D59:J59)=0,"",SUMPRODUCT(D59:J59,$D$21:$J$21)/5)</f>
        <v/>
      </c>
      <c r="M59" s="17" t="str">
        <f aca="false">IF(L59="","",IF(K59="Yes","Red flag — review",IF(L59&gt;=0.8,"Ideal",IF(L59&gt;=0.6,"Good",IF(L59&gt;=0.4,"Possible","Poor")))))</f>
        <v/>
      </c>
      <c r="N59" s="25" t="str">
        <f aca="false">IF(M59="","",IF(M59="Ideal","Prioritise — respond same day",IF(M59="Good","Pursue with standard process",IF(M59="Possible","Offer a lighter or self-serve option",IF(M59="Poor","Decline politely or refer","Check red flag before proceeding")))))</f>
        <v/>
      </c>
    </row>
    <row r="60" customFormat="false" ht="30" hidden="false" customHeight="true" outlineLevel="0" collapsed="false">
      <c r="A60" s="10"/>
      <c r="B60" s="10"/>
      <c r="C60" s="24"/>
      <c r="D60" s="19"/>
      <c r="E60" s="19"/>
      <c r="F60" s="19"/>
      <c r="G60" s="19"/>
      <c r="H60" s="19"/>
      <c r="I60" s="19"/>
      <c r="J60" s="19"/>
      <c r="K60" s="19"/>
      <c r="L60" s="13" t="str">
        <f aca="false">IF(COUNT(D60:J60)=0,"",SUMPRODUCT(D60:J60,$D$21:$J$21)/5)</f>
        <v/>
      </c>
      <c r="M60" s="17" t="str">
        <f aca="false">IF(L60="","",IF(K60="Yes","Red flag — review",IF(L60&gt;=0.8,"Ideal",IF(L60&gt;=0.6,"Good",IF(L60&gt;=0.4,"Possible","Poor")))))</f>
        <v/>
      </c>
      <c r="N60" s="25" t="str">
        <f aca="false">IF(M60="","",IF(M60="Ideal","Prioritise — respond same day",IF(M60="Good","Pursue with standard process",IF(M60="Possible","Offer a lighter or self-serve option",IF(M60="Poor","Decline politely or refer","Check red flag before proceeding")))))</f>
        <v/>
      </c>
    </row>
    <row r="61" customFormat="false" ht="30" hidden="false" customHeight="true" outlineLevel="0" collapsed="false">
      <c r="A61" s="10"/>
      <c r="B61" s="10"/>
      <c r="C61" s="24"/>
      <c r="D61" s="19"/>
      <c r="E61" s="19"/>
      <c r="F61" s="19"/>
      <c r="G61" s="19"/>
      <c r="H61" s="19"/>
      <c r="I61" s="19"/>
      <c r="J61" s="19"/>
      <c r="K61" s="19"/>
      <c r="L61" s="13" t="str">
        <f aca="false">IF(COUNT(D61:J61)=0,"",SUMPRODUCT(D61:J61,$D$21:$J$21)/5)</f>
        <v/>
      </c>
      <c r="M61" s="17" t="str">
        <f aca="false">IF(L61="","",IF(K61="Yes","Red flag — review",IF(L61&gt;=0.8,"Ideal",IF(L61&gt;=0.6,"Good",IF(L61&gt;=0.4,"Possible","Poor")))))</f>
        <v/>
      </c>
      <c r="N61" s="25" t="str">
        <f aca="false">IF(M61="","",IF(M61="Ideal","Prioritise — respond same day",IF(M61="Good","Pursue with standard process",IF(M61="Possible","Offer a lighter or self-serve option",IF(M61="Poor","Decline politely or refer","Check red flag before proceeding")))))</f>
        <v/>
      </c>
    </row>
    <row r="62" customFormat="false" ht="30" hidden="false" customHeight="true" outlineLevel="0" collapsed="false">
      <c r="A62" s="10"/>
      <c r="B62" s="10"/>
      <c r="C62" s="24"/>
      <c r="D62" s="19"/>
      <c r="E62" s="19"/>
      <c r="F62" s="19"/>
      <c r="G62" s="19"/>
      <c r="H62" s="19"/>
      <c r="I62" s="19"/>
      <c r="J62" s="19"/>
      <c r="K62" s="19"/>
      <c r="L62" s="13" t="str">
        <f aca="false">IF(COUNT(D62:J62)=0,"",SUMPRODUCT(D62:J62,$D$21:$J$21)/5)</f>
        <v/>
      </c>
      <c r="M62" s="17" t="str">
        <f aca="false">IF(L62="","",IF(K62="Yes","Red flag — review",IF(L62&gt;=0.8,"Ideal",IF(L62&gt;=0.6,"Good",IF(L62&gt;=0.4,"Possible","Poor")))))</f>
        <v/>
      </c>
      <c r="N62" s="25" t="str">
        <f aca="false">IF(M62="","",IF(M62="Ideal","Prioritise — respond same day",IF(M62="Good","Pursue with standard process",IF(M62="Possible","Offer a lighter or self-serve option",IF(M62="Poor","Decline politely or refer","Check red flag before proceeding")))))</f>
        <v/>
      </c>
    </row>
  </sheetData>
  <mergeCells count="19">
    <mergeCell ref="D4:F4"/>
    <mergeCell ref="G4:I4"/>
    <mergeCell ref="D5:F5"/>
    <mergeCell ref="G5:I5"/>
    <mergeCell ref="D6:F6"/>
    <mergeCell ref="G6:I6"/>
    <mergeCell ref="D7:F7"/>
    <mergeCell ref="G7:I7"/>
    <mergeCell ref="D8:F8"/>
    <mergeCell ref="G8:I8"/>
    <mergeCell ref="D9:F9"/>
    <mergeCell ref="G9:I9"/>
    <mergeCell ref="D10:F10"/>
    <mergeCell ref="G10:I10"/>
    <mergeCell ref="D11:F11"/>
    <mergeCell ref="G11:I11"/>
    <mergeCell ref="B15:I15"/>
    <mergeCell ref="B16:I16"/>
    <mergeCell ref="B17:I17"/>
  </mergeCells>
  <conditionalFormatting sqref="D12">
    <cfRule type="cellIs" priority="2" operator="notEqual" aboveAverage="0" equalAverage="0" bottom="0" percent="0" rank="0" text="" dxfId="16">
      <formula>"OK"</formula>
    </cfRule>
  </conditionalFormatting>
  <conditionalFormatting sqref="M23:M62">
    <cfRule type="cellIs" priority="3" operator="equal" aboveAverage="0" equalAverage="0" bottom="0" percent="0" rank="0" text="" dxfId="14">
      <formula>"Ideal"</formula>
    </cfRule>
    <cfRule type="cellIs" priority="4" operator="equal" aboveAverage="0" equalAverage="0" bottom="0" percent="0" rank="0" text="" dxfId="17">
      <formula>"Good"</formula>
    </cfRule>
    <cfRule type="cellIs" priority="5" operator="equal" aboveAverage="0" equalAverage="0" bottom="0" percent="0" rank="0" text="" dxfId="15">
      <formula>"Possible"</formula>
    </cfRule>
    <cfRule type="expression" priority="6" aboveAverage="0" equalAverage="0" bottom="0" percent="0" rank="0" text="" dxfId="16">
      <formula>OR(M23="Poor",M23="Red flag — review")</formula>
    </cfRule>
  </conditionalFormatting>
  <dataValidations count="4">
    <dataValidation allowBlank="true" error="Enter a percentage between 0% and 100%." errorStyle="stop" errorTitle="Weight" operator="between" showDropDown="false" showErrorMessage="true" showInputMessage="false" sqref="C5:C11" type="decimal">
      <formula1>0</formula1>
      <formula2>1</formula2>
    </dataValidation>
    <dataValidation allowBlank="true" error="Enter a whole number from 0 to 5." errorStyle="stop" errorTitle="Rating 0–5" operator="between" showDropDown="false" showErrorMessage="true" showInputMessage="false" sqref="D23:J62" type="whole">
      <formula1>0</formula1>
      <formula2>5</formula2>
    </dataValidation>
    <dataValidation allowBlank="true" errorStyle="stop" operator="between" showDropDown="false" showErrorMessage="false" showInputMessage="false" sqref="K23:K62" type="list">
      <formula1>Lists!$E$2:$E$3</formula1>
      <formula2>0</formula2>
    </dataValidation>
    <dataValidation allowBlank="true" error="Enter a valid date." errorStyle="stop" errorTitle="Date" operator="greaterThan" showDropDown="false" showErrorMessage="true" showInputMessage="false" sqref="C23:C62" type="date">
      <formula1>36526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&amp;CAQVANI.SHOP · AI Business Operating System 2026 · Customer Persona Builder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73B2A"/>
    <pageSetUpPr fitToPage="true"/>
  </sheetPr>
  <dimension ref="A1:N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40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9" min="9" style="0" width="28"/>
    <col collapsed="false" customWidth="true" hidden="false" outlineLevel="0" max="10" min="10" style="0" width="22"/>
    <col collapsed="false" customWidth="true" hidden="false" outlineLevel="0" max="11" min="11" style="0" width="13"/>
    <col collapsed="false" customWidth="true" hidden="false" outlineLevel="0" max="12" min="12" style="0" width="24"/>
    <col collapsed="false" customWidth="true" hidden="false" outlineLevel="0" max="13" min="13" style="0" width="3"/>
    <col collapsed="false" customWidth="true" hidden="false" outlineLevel="0" max="14" min="14" style="0" width="22"/>
  </cols>
  <sheetData>
    <row r="1" customFormat="false" ht="27.75" hidden="false" customHeight="true" outlineLevel="0" collapsed="false">
      <c r="A1" s="1" t="s">
        <v>159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8" hidden="false" customHeight="true" outlineLevel="0" collapsed="false">
      <c r="A2" s="3" t="s">
        <v>160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1.5" hidden="false" customHeight="true" outlineLevel="0" collapsed="false">
      <c r="A4" s="7" t="s">
        <v>146</v>
      </c>
      <c r="B4" s="7" t="s">
        <v>161</v>
      </c>
      <c r="C4" s="7" t="s">
        <v>86</v>
      </c>
      <c r="D4" s="7" t="s">
        <v>162</v>
      </c>
      <c r="E4" s="7" t="s">
        <v>163</v>
      </c>
      <c r="F4" s="7" t="s">
        <v>164</v>
      </c>
      <c r="G4" s="7" t="s">
        <v>165</v>
      </c>
      <c r="H4" s="7" t="s">
        <v>166</v>
      </c>
      <c r="I4" s="7" t="s">
        <v>167</v>
      </c>
      <c r="J4" s="7" t="s">
        <v>168</v>
      </c>
      <c r="K4" s="7" t="s">
        <v>169</v>
      </c>
      <c r="L4" s="7" t="s">
        <v>170</v>
      </c>
      <c r="N4" s="14" t="s">
        <v>171</v>
      </c>
    </row>
    <row r="5" customFormat="false" ht="30" hidden="false" customHeight="true" outlineLevel="0" collapsed="false">
      <c r="A5" s="24" t="n">
        <f aca="false">DATE(2026,9,14)</f>
        <v>46279</v>
      </c>
      <c r="B5" s="10" t="s">
        <v>172</v>
      </c>
      <c r="C5" s="10" t="s">
        <v>97</v>
      </c>
      <c r="D5" s="10" t="s">
        <v>173</v>
      </c>
      <c r="E5" s="10" t="s">
        <v>174</v>
      </c>
      <c r="F5" s="10" t="s">
        <v>175</v>
      </c>
      <c r="G5" s="10" t="s">
        <v>176</v>
      </c>
      <c r="H5" s="10" t="s">
        <v>177</v>
      </c>
      <c r="I5" s="10" t="s">
        <v>178</v>
      </c>
      <c r="J5" s="10" t="s">
        <v>179</v>
      </c>
      <c r="K5" s="10" t="s">
        <v>158</v>
      </c>
      <c r="L5" s="10" t="s">
        <v>180</v>
      </c>
      <c r="N5" s="20" t="n">
        <f aca="false">COUNTA(B5:B104)</f>
        <v>1</v>
      </c>
    </row>
    <row r="6" customFormat="false" ht="30" hidden="false" customHeight="true" outlineLevel="0" collapsed="false">
      <c r="A6" s="24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customFormat="false" ht="30" hidden="false" customHeight="true" outlineLevel="0" collapsed="false">
      <c r="A7" s="24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N7" s="14" t="s">
        <v>181</v>
      </c>
    </row>
    <row r="8" customFormat="false" ht="30" hidden="false" customHeight="true" outlineLevel="0" collapsed="false">
      <c r="A8" s="24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N8" s="20" t="n">
        <f aca="false">COUNTIF(K5:K104,"Yes")</f>
        <v>1</v>
      </c>
    </row>
    <row r="9" customFormat="false" ht="30" hidden="false" customHeight="true" outlineLevel="0" collapsed="false">
      <c r="A9" s="24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customFormat="false" ht="30" hidden="false" customHeight="true" outlineLevel="0" collapsed="false">
      <c r="A10" s="24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customFormat="false" ht="30" hidden="false" customHeight="true" outlineLevel="0" collapsed="false">
      <c r="A11" s="24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customFormat="false" ht="30" hidden="false" customHeight="true" outlineLevel="0" collapsed="false">
      <c r="A12" s="24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customFormat="false" ht="30" hidden="false" customHeight="true" outlineLevel="0" collapsed="false">
      <c r="A13" s="24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customFormat="false" ht="30" hidden="false" customHeight="true" outlineLevel="0" collapsed="false">
      <c r="A14" s="2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customFormat="false" ht="30" hidden="false" customHeight="true" outlineLevel="0" collapsed="false">
      <c r="A15" s="24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customFormat="false" ht="30" hidden="false" customHeight="true" outlineLevel="0" collapsed="false">
      <c r="A16" s="24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customFormat="false" ht="30" hidden="false" customHeight="true" outlineLevel="0" collapsed="false">
      <c r="A17" s="24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customFormat="false" ht="30" hidden="false" customHeight="true" outlineLevel="0" collapsed="false">
      <c r="A18" s="24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customFormat="false" ht="30" hidden="false" customHeight="true" outlineLevel="0" collapsed="false">
      <c r="A19" s="24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customFormat="false" ht="30" hidden="false" customHeight="true" outlineLevel="0" collapsed="false">
      <c r="A20" s="24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customFormat="false" ht="30" hidden="false" customHeight="true" outlineLevel="0" collapsed="false">
      <c r="A21" s="24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customFormat="false" ht="30" hidden="false" customHeight="true" outlineLevel="0" collapsed="false">
      <c r="A22" s="24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customFormat="false" ht="30" hidden="false" customHeight="true" outlineLevel="0" collapsed="false">
      <c r="A23" s="24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customFormat="false" ht="30" hidden="false" customHeight="true" outlineLevel="0" collapsed="false">
      <c r="A24" s="24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customFormat="false" ht="30" hidden="false" customHeight="true" outlineLevel="0" collapsed="false">
      <c r="A25" s="24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customFormat="false" ht="30" hidden="false" customHeight="true" outlineLevel="0" collapsed="false">
      <c r="A26" s="24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customFormat="false" ht="30" hidden="false" customHeight="true" outlineLevel="0" collapsed="false">
      <c r="A27" s="24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customFormat="false" ht="30" hidden="false" customHeight="true" outlineLevel="0" collapsed="false">
      <c r="A28" s="24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customFormat="false" ht="30" hidden="false" customHeight="true" outlineLevel="0" collapsed="false">
      <c r="A29" s="24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customFormat="false" ht="30" hidden="false" customHeight="true" outlineLevel="0" collapsed="false">
      <c r="A30" s="24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customFormat="false" ht="30" hidden="false" customHeight="true" outlineLevel="0" collapsed="false">
      <c r="A31" s="24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customFormat="false" ht="30" hidden="false" customHeight="true" outlineLevel="0" collapsed="false">
      <c r="A32" s="24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customFormat="false" ht="30" hidden="false" customHeight="true" outlineLevel="0" collapsed="false">
      <c r="A33" s="24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customFormat="false" ht="30" hidden="false" customHeight="true" outlineLevel="0" collapsed="false">
      <c r="A34" s="24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customFormat="false" ht="30" hidden="false" customHeight="true" outlineLevel="0" collapsed="false">
      <c r="A35" s="24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customFormat="false" ht="30" hidden="false" customHeight="true" outlineLevel="0" collapsed="false">
      <c r="A36" s="24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customFormat="false" ht="30" hidden="false" customHeight="true" outlineLevel="0" collapsed="false">
      <c r="A37" s="24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customFormat="false" ht="30" hidden="false" customHeight="true" outlineLevel="0" collapsed="false">
      <c r="A38" s="24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customFormat="false" ht="30" hidden="false" customHeight="true" outlineLevel="0" collapsed="false">
      <c r="A39" s="24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customFormat="false" ht="30" hidden="false" customHeight="true" outlineLevel="0" collapsed="false">
      <c r="A40" s="24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customFormat="false" ht="30" hidden="false" customHeight="true" outlineLevel="0" collapsed="false">
      <c r="A41" s="24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customFormat="false" ht="30" hidden="false" customHeight="true" outlineLevel="0" collapsed="false">
      <c r="A42" s="24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customFormat="false" ht="30" hidden="false" customHeight="true" outlineLevel="0" collapsed="false">
      <c r="A43" s="24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customFormat="false" ht="30" hidden="false" customHeight="true" outlineLevel="0" collapsed="false">
      <c r="A44" s="24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customFormat="false" ht="30" hidden="false" customHeight="true" outlineLevel="0" collapsed="false">
      <c r="A45" s="24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customFormat="false" ht="30" hidden="false" customHeight="true" outlineLevel="0" collapsed="false">
      <c r="A46" s="24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customFormat="false" ht="30" hidden="false" customHeight="true" outlineLevel="0" collapsed="false">
      <c r="A47" s="24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customFormat="false" ht="30" hidden="false" customHeight="true" outlineLevel="0" collapsed="false">
      <c r="A48" s="24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customFormat="false" ht="30" hidden="false" customHeight="true" outlineLevel="0" collapsed="false">
      <c r="A49" s="24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customFormat="false" ht="30" hidden="false" customHeight="true" outlineLevel="0" collapsed="false">
      <c r="A50" s="24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customFormat="false" ht="30" hidden="false" customHeight="true" outlineLevel="0" collapsed="false">
      <c r="A51" s="24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customFormat="false" ht="30" hidden="false" customHeight="true" outlineLevel="0" collapsed="false">
      <c r="A52" s="24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customFormat="false" ht="30" hidden="false" customHeight="true" outlineLevel="0" collapsed="false">
      <c r="A53" s="24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customFormat="false" ht="30" hidden="false" customHeight="true" outlineLevel="0" collapsed="false">
      <c r="A54" s="24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customFormat="false" ht="30" hidden="false" customHeight="true" outlineLevel="0" collapsed="false">
      <c r="A55" s="24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customFormat="false" ht="30" hidden="false" customHeight="true" outlineLevel="0" collapsed="false">
      <c r="A56" s="24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customFormat="false" ht="30" hidden="false" customHeight="true" outlineLevel="0" collapsed="false">
      <c r="A57" s="24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customFormat="false" ht="30" hidden="false" customHeight="true" outlineLevel="0" collapsed="false">
      <c r="A58" s="24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customFormat="false" ht="30" hidden="false" customHeight="true" outlineLevel="0" collapsed="false">
      <c r="A59" s="24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customFormat="false" ht="30" hidden="false" customHeight="true" outlineLevel="0" collapsed="false">
      <c r="A60" s="24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customFormat="false" ht="30" hidden="false" customHeight="true" outlineLevel="0" collapsed="false">
      <c r="A61" s="24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customFormat="false" ht="30" hidden="false" customHeight="true" outlineLevel="0" collapsed="false">
      <c r="A62" s="24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customFormat="false" ht="30" hidden="false" customHeight="true" outlineLevel="0" collapsed="false">
      <c r="A63" s="24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customFormat="false" ht="30" hidden="false" customHeight="true" outlineLevel="0" collapsed="false">
      <c r="A64" s="24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customFormat="false" ht="30" hidden="false" customHeight="true" outlineLevel="0" collapsed="false">
      <c r="A65" s="24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customFormat="false" ht="30" hidden="false" customHeight="true" outlineLevel="0" collapsed="false">
      <c r="A66" s="24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customFormat="false" ht="30" hidden="false" customHeight="true" outlineLevel="0" collapsed="false">
      <c r="A67" s="24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customFormat="false" ht="30" hidden="false" customHeight="true" outlineLevel="0" collapsed="false">
      <c r="A68" s="24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customFormat="false" ht="30" hidden="false" customHeight="true" outlineLevel="0" collapsed="false">
      <c r="A69" s="24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customFormat="false" ht="30" hidden="false" customHeight="true" outlineLevel="0" collapsed="false">
      <c r="A70" s="24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customFormat="false" ht="30" hidden="false" customHeight="true" outlineLevel="0" collapsed="false">
      <c r="A71" s="24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customFormat="false" ht="30" hidden="false" customHeight="true" outlineLevel="0" collapsed="false">
      <c r="A72" s="24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customFormat="false" ht="30" hidden="false" customHeight="true" outlineLevel="0" collapsed="false">
      <c r="A73" s="24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customFormat="false" ht="30" hidden="false" customHeight="true" outlineLevel="0" collapsed="false">
      <c r="A74" s="24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customFormat="false" ht="30" hidden="false" customHeight="true" outlineLevel="0" collapsed="false">
      <c r="A75" s="24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customFormat="false" ht="30" hidden="false" customHeight="true" outlineLevel="0" collapsed="false">
      <c r="A76" s="24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customFormat="false" ht="30" hidden="false" customHeight="true" outlineLevel="0" collapsed="false">
      <c r="A77" s="24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customFormat="false" ht="30" hidden="false" customHeight="true" outlineLevel="0" collapsed="false">
      <c r="A78" s="24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customFormat="false" ht="30" hidden="false" customHeight="true" outlineLevel="0" collapsed="false">
      <c r="A79" s="24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customFormat="false" ht="30" hidden="false" customHeight="true" outlineLevel="0" collapsed="false">
      <c r="A80" s="24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customFormat="false" ht="30" hidden="false" customHeight="true" outlineLevel="0" collapsed="false">
      <c r="A81" s="24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customFormat="false" ht="30" hidden="false" customHeight="true" outlineLevel="0" collapsed="false">
      <c r="A82" s="24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customFormat="false" ht="30" hidden="false" customHeight="true" outlineLevel="0" collapsed="false">
      <c r="A83" s="24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customFormat="false" ht="30" hidden="false" customHeight="true" outlineLevel="0" collapsed="false">
      <c r="A84" s="24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customFormat="false" ht="30" hidden="false" customHeight="true" outlineLevel="0" collapsed="false">
      <c r="A85" s="24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customFormat="false" ht="30" hidden="false" customHeight="true" outlineLevel="0" collapsed="false">
      <c r="A86" s="24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customFormat="false" ht="30" hidden="false" customHeight="true" outlineLevel="0" collapsed="false">
      <c r="A87" s="24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customFormat="false" ht="30" hidden="false" customHeight="true" outlineLevel="0" collapsed="false">
      <c r="A88" s="24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customFormat="false" ht="30" hidden="false" customHeight="true" outlineLevel="0" collapsed="false">
      <c r="A89" s="24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customFormat="false" ht="30" hidden="false" customHeight="true" outlineLevel="0" collapsed="false">
      <c r="A90" s="24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customFormat="false" ht="30" hidden="false" customHeight="true" outlineLevel="0" collapsed="false">
      <c r="A91" s="24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customFormat="false" ht="30" hidden="false" customHeight="true" outlineLevel="0" collapsed="false">
      <c r="A92" s="24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customFormat="false" ht="30" hidden="false" customHeight="true" outlineLevel="0" collapsed="false">
      <c r="A93" s="24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customFormat="false" ht="30" hidden="false" customHeight="true" outlineLevel="0" collapsed="false">
      <c r="A94" s="24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customFormat="false" ht="30" hidden="false" customHeight="true" outlineLevel="0" collapsed="false">
      <c r="A95" s="24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customFormat="false" ht="30" hidden="false" customHeight="true" outlineLevel="0" collapsed="false">
      <c r="A96" s="24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customFormat="false" ht="30" hidden="false" customHeight="true" outlineLevel="0" collapsed="false">
      <c r="A97" s="24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customFormat="false" ht="30" hidden="false" customHeight="true" outlineLevel="0" collapsed="false">
      <c r="A98" s="24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customFormat="false" ht="30" hidden="false" customHeight="true" outlineLevel="0" collapsed="false">
      <c r="A99" s="24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customFormat="false" ht="30" hidden="false" customHeight="true" outlineLevel="0" collapsed="false">
      <c r="A100" s="24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customFormat="false" ht="30" hidden="false" customHeight="true" outlineLevel="0" collapsed="false">
      <c r="A101" s="24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customFormat="false" ht="30" hidden="false" customHeight="true" outlineLevel="0" collapsed="false">
      <c r="A102" s="24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customFormat="false" ht="30" hidden="false" customHeight="true" outlineLevel="0" collapsed="false">
      <c r="A103" s="24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customFormat="false" ht="30" hidden="false" customHeight="true" outlineLevel="0" collapsed="false">
      <c r="A104" s="24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</sheetData>
  <autoFilter ref="A4:L104"/>
  <dataValidations count="4">
    <dataValidation allowBlank="true" error="Enter a valid date." errorStyle="stop" errorTitle="Date" operator="greaterThan" showDropDown="false" showErrorMessage="true" showInputMessage="false" sqref="A5:A104" type="date">
      <formula1>36526</formula1>
      <formula2>0</formula2>
    </dataValidation>
    <dataValidation allowBlank="true" errorStyle="stop" operator="between" showDropDown="false" showErrorMessage="false" showInputMessage="false" sqref="C5:C104" type="list">
      <formula1>Lists!$A$2:$A$4</formula1>
      <formula2>0</formula2>
    </dataValidation>
    <dataValidation allowBlank="true" errorStyle="stop" operator="between" showDropDown="false" showErrorMessage="false" showInputMessage="false" sqref="H5:H104" type="list">
      <formula1>Lists!$D$2:$D$6</formula1>
      <formula2>0</formula2>
    </dataValidation>
    <dataValidation allowBlank="true" errorStyle="stop" operator="between" showDropDown="false" showErrorMessage="false" showInputMessage="false" sqref="K5:K104" type="list">
      <formula1>Lists!$E$2:$E$3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&amp;CAQVANI.SHOP · AI Business Operating System 2026 · Customer Persona Builder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8A8A"/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3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26" t="s">
        <v>86</v>
      </c>
      <c r="B1" s="26" t="s">
        <v>88</v>
      </c>
      <c r="C1" s="26" t="s">
        <v>70</v>
      </c>
      <c r="D1" s="26" t="s">
        <v>166</v>
      </c>
      <c r="E1" s="26" t="s">
        <v>182</v>
      </c>
      <c r="G1" s="14" t="s">
        <v>183</v>
      </c>
    </row>
    <row r="2" customFormat="false" ht="35.05" hidden="false" customHeight="false" outlineLevel="0" collapsed="false">
      <c r="A2" s="27" t="s">
        <v>97</v>
      </c>
      <c r="B2" s="27" t="s">
        <v>105</v>
      </c>
      <c r="C2" s="27" t="s">
        <v>184</v>
      </c>
      <c r="D2" s="27" t="s">
        <v>177</v>
      </c>
      <c r="E2" s="27" t="s">
        <v>158</v>
      </c>
      <c r="G2" s="5" t="s">
        <v>185</v>
      </c>
    </row>
    <row r="3" customFormat="false" ht="15" hidden="false" customHeight="false" outlineLevel="0" collapsed="false">
      <c r="A3" s="27" t="s">
        <v>32</v>
      </c>
      <c r="B3" s="27" t="s">
        <v>99</v>
      </c>
      <c r="C3" s="27" t="s">
        <v>72</v>
      </c>
      <c r="D3" s="27" t="s">
        <v>186</v>
      </c>
      <c r="E3" s="27" t="s">
        <v>153</v>
      </c>
    </row>
    <row r="4" customFormat="false" ht="15" hidden="false" customHeight="false" outlineLevel="0" collapsed="false">
      <c r="A4" s="27" t="s">
        <v>33</v>
      </c>
      <c r="B4" s="27" t="s">
        <v>187</v>
      </c>
      <c r="C4" s="27" t="s">
        <v>188</v>
      </c>
      <c r="D4" s="27" t="s">
        <v>189</v>
      </c>
    </row>
    <row r="5" customFormat="false" ht="15" hidden="false" customHeight="false" outlineLevel="0" collapsed="false">
      <c r="B5" s="27" t="s">
        <v>190</v>
      </c>
      <c r="D5" s="27" t="s">
        <v>191</v>
      </c>
    </row>
    <row r="6" customFormat="false" ht="15" hidden="false" customHeight="false" outlineLevel="0" collapsed="false">
      <c r="B6" s="27" t="s">
        <v>110</v>
      </c>
      <c r="D6" s="27" t="s">
        <v>192</v>
      </c>
    </row>
    <row r="7" customFormat="false" ht="15" hidden="false" customHeight="false" outlineLevel="0" collapsed="false">
      <c r="B7" s="27" t="s">
        <v>102</v>
      </c>
    </row>
    <row r="8" customFormat="false" ht="15" hidden="false" customHeight="false" outlineLevel="0" collapsed="false">
      <c r="B8" s="27" t="s">
        <v>193</v>
      </c>
    </row>
    <row r="9" customFormat="false" ht="15" hidden="false" customHeight="false" outlineLevel="0" collapsed="false">
      <c r="B9" s="27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2026-10-01T02:40:55Z</dcterms:created>
  <dc:creator>AQVANI.SHOP</dc:creator>
  <dc:description/>
  <dc:language>en-US</dc:language>
  <cp:lastModifiedBy/>
  <dcterms:modified xsi:type="dcterms:W3CDTF">2026-10-01T02:40:55Z</dcterms:modified>
  <cp:revision>0</cp:revision>
  <dc:subject/>
  <dc:title>Customer Persona Builder — AI Business Operating System 2026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